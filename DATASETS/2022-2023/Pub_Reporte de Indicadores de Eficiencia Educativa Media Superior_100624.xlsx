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cantu\Documents\ESTADISTICA\Estadística\LEVANTAMIENTO ESTADISTICO\INICIO CICLO 23 - 24\REPORTES\FINALES\PUBLICACION\FIN\"/>
    </mc:Choice>
  </mc:AlternateContent>
  <bookViews>
    <workbookView xWindow="0" yWindow="0" windowWidth="27465" windowHeight="12315"/>
  </bookViews>
  <sheets>
    <sheet name="Hoja1" sheetId="1" r:id="rId1"/>
  </sheets>
  <definedNames>
    <definedName name="_xlnm._FilterDatabase" localSheetId="0" hidden="1">Hoja1!$A$12:$BV$12</definedName>
  </definedNames>
  <calcPr calcId="162913"/>
  <extLst>
    <ext uri="GoogleSheetsCustomDataVersion2">
      <go:sheetsCustomData xmlns:go="http://customooxmlschemas.google.com/" r:id="rId5" roundtripDataChecksum="11UGli5B1IP0Ot3pd9EuLPRvlKKVvfZ4ncFRVn7C7WE="/>
    </ext>
  </extLst>
</workbook>
</file>

<file path=xl/calcChain.xml><?xml version="1.0" encoding="utf-8"?>
<calcChain xmlns="http://schemas.openxmlformats.org/spreadsheetml/2006/main">
  <c r="AL16" i="1" l="1"/>
  <c r="AM16" i="1" s="1"/>
  <c r="AN16" i="1"/>
  <c r="AO16" i="1"/>
  <c r="AL17" i="1"/>
  <c r="AM17" i="1"/>
  <c r="AN17" i="1"/>
  <c r="AO17" i="1"/>
  <c r="AL18" i="1"/>
  <c r="AM18" i="1"/>
  <c r="AN18" i="1"/>
  <c r="AO18" i="1"/>
  <c r="AL19" i="1"/>
  <c r="AM19" i="1"/>
  <c r="AN19" i="1"/>
  <c r="AO19" i="1"/>
  <c r="AL20" i="1"/>
  <c r="AM20" i="1"/>
  <c r="AN20" i="1"/>
  <c r="AO20" i="1"/>
  <c r="AL21" i="1"/>
  <c r="AM21" i="1"/>
  <c r="AN21" i="1"/>
  <c r="AO21" i="1"/>
  <c r="AL22" i="1"/>
  <c r="AM22" i="1"/>
  <c r="AN22" i="1"/>
  <c r="AO22" i="1"/>
  <c r="AL23" i="1"/>
  <c r="AM23" i="1"/>
  <c r="AN23" i="1"/>
  <c r="AO23" i="1"/>
  <c r="AL24" i="1"/>
  <c r="AM24" i="1" s="1"/>
  <c r="AN24" i="1"/>
  <c r="AO24" i="1"/>
  <c r="AL25" i="1"/>
  <c r="AM25" i="1" s="1"/>
  <c r="AN25" i="1"/>
  <c r="AO25" i="1"/>
  <c r="AL26" i="1"/>
  <c r="AM26" i="1" s="1"/>
  <c r="AN26" i="1"/>
  <c r="AO26" i="1"/>
  <c r="AL27" i="1"/>
  <c r="AM27" i="1" s="1"/>
  <c r="AN27" i="1"/>
  <c r="AO27" i="1"/>
  <c r="AL28" i="1"/>
  <c r="AM28" i="1" s="1"/>
  <c r="AN28" i="1"/>
  <c r="AO28" i="1"/>
  <c r="AL29" i="1"/>
  <c r="AM29" i="1" s="1"/>
  <c r="AN29" i="1"/>
  <c r="AO29" i="1"/>
  <c r="AL30" i="1"/>
  <c r="AM30" i="1" s="1"/>
  <c r="AN30" i="1"/>
  <c r="AO30" i="1"/>
  <c r="AL31" i="1"/>
  <c r="AM31" i="1" s="1"/>
  <c r="AN31" i="1"/>
  <c r="AO31" i="1"/>
  <c r="AL32" i="1"/>
  <c r="AM32" i="1" s="1"/>
  <c r="AN32" i="1"/>
  <c r="AO32" i="1"/>
  <c r="AL33" i="1"/>
  <c r="AM33" i="1" s="1"/>
  <c r="AN33" i="1"/>
  <c r="AO33" i="1"/>
  <c r="AL34" i="1"/>
  <c r="AM34" i="1" s="1"/>
  <c r="AN34" i="1"/>
  <c r="AO34" i="1"/>
  <c r="AL35" i="1"/>
  <c r="AM35" i="1" s="1"/>
  <c r="AN35" i="1"/>
  <c r="AO35" i="1"/>
  <c r="AL36" i="1"/>
  <c r="AM36" i="1" s="1"/>
  <c r="AN36" i="1"/>
  <c r="AO36" i="1"/>
  <c r="AL37" i="1"/>
  <c r="AM37" i="1" s="1"/>
  <c r="AN37" i="1"/>
  <c r="AO37" i="1"/>
  <c r="AL38" i="1"/>
  <c r="AM38" i="1" s="1"/>
  <c r="AN38" i="1"/>
  <c r="AO38" i="1"/>
  <c r="AL39" i="1"/>
  <c r="AM39" i="1" s="1"/>
  <c r="AN39" i="1"/>
  <c r="AO39" i="1"/>
  <c r="AL40" i="1"/>
  <c r="AM40" i="1" s="1"/>
  <c r="AN40" i="1"/>
  <c r="AO40" i="1"/>
  <c r="AL41" i="1"/>
  <c r="AM41" i="1" s="1"/>
  <c r="AN41" i="1"/>
  <c r="AO41" i="1"/>
  <c r="AL42" i="1"/>
  <c r="AM42" i="1" s="1"/>
  <c r="AN42" i="1"/>
  <c r="AO42" i="1"/>
  <c r="AL43" i="1"/>
  <c r="AM43" i="1" s="1"/>
  <c r="AN43" i="1"/>
  <c r="AO43" i="1"/>
  <c r="AL44" i="1"/>
  <c r="AM44" i="1" s="1"/>
  <c r="AN44" i="1"/>
  <c r="AO44" i="1"/>
  <c r="AL45" i="1"/>
  <c r="AM45" i="1" s="1"/>
  <c r="AN45" i="1"/>
  <c r="AO45" i="1"/>
  <c r="AL46" i="1"/>
  <c r="AM46" i="1" s="1"/>
  <c r="AN46" i="1"/>
  <c r="AO46" i="1"/>
  <c r="AL47" i="1"/>
  <c r="AM47" i="1" s="1"/>
  <c r="AN47" i="1"/>
  <c r="AO47" i="1"/>
  <c r="AL48" i="1"/>
  <c r="AM48" i="1" s="1"/>
  <c r="AN48" i="1"/>
  <c r="AO48" i="1"/>
  <c r="AL49" i="1"/>
  <c r="AM49" i="1" s="1"/>
  <c r="AN49" i="1"/>
  <c r="AO49" i="1"/>
  <c r="AL50" i="1"/>
  <c r="AM50" i="1" s="1"/>
  <c r="AN50" i="1"/>
  <c r="AO50" i="1"/>
  <c r="AL51" i="1"/>
  <c r="AM51" i="1" s="1"/>
  <c r="AN51" i="1"/>
  <c r="AO51" i="1"/>
  <c r="AL52" i="1"/>
  <c r="AM52" i="1" s="1"/>
  <c r="AN52" i="1"/>
  <c r="AO52" i="1"/>
  <c r="AL53" i="1"/>
  <c r="AM53" i="1" s="1"/>
  <c r="AN53" i="1"/>
  <c r="AO53" i="1"/>
  <c r="AL54" i="1"/>
  <c r="AM54" i="1" s="1"/>
  <c r="AN54" i="1"/>
  <c r="AO54" i="1"/>
  <c r="AL55" i="1"/>
  <c r="AM55" i="1" s="1"/>
  <c r="AN55" i="1"/>
  <c r="AO55" i="1"/>
  <c r="AL56" i="1"/>
  <c r="AM56" i="1" s="1"/>
  <c r="AN56" i="1"/>
  <c r="AO56" i="1"/>
  <c r="AL57" i="1"/>
  <c r="AM57" i="1" s="1"/>
  <c r="AN57" i="1"/>
  <c r="AO57" i="1"/>
  <c r="AL58" i="1"/>
  <c r="AM58" i="1" s="1"/>
  <c r="AN58" i="1"/>
  <c r="AO58" i="1"/>
  <c r="AL59" i="1"/>
  <c r="AM59" i="1" s="1"/>
  <c r="AN59" i="1"/>
  <c r="AO59" i="1"/>
  <c r="AL60" i="1"/>
  <c r="AM60" i="1" s="1"/>
  <c r="AN60" i="1"/>
  <c r="AO60" i="1"/>
  <c r="AL61" i="1"/>
  <c r="AM61" i="1" s="1"/>
  <c r="AN61" i="1"/>
  <c r="AO61" i="1"/>
  <c r="AL62" i="1"/>
  <c r="AM62" i="1" s="1"/>
  <c r="AN62" i="1"/>
  <c r="AO62" i="1"/>
  <c r="AL63" i="1"/>
  <c r="AM63" i="1" s="1"/>
  <c r="AN63" i="1"/>
  <c r="AO63" i="1"/>
  <c r="AL64" i="1"/>
  <c r="AM64" i="1" s="1"/>
  <c r="AN64" i="1"/>
  <c r="AO64" i="1"/>
  <c r="AL65" i="1"/>
  <c r="AM65" i="1" s="1"/>
  <c r="AN65" i="1"/>
  <c r="AO65" i="1"/>
  <c r="AL66" i="1"/>
  <c r="AM66" i="1" s="1"/>
  <c r="AN66" i="1"/>
  <c r="AO66" i="1"/>
  <c r="AL67" i="1"/>
  <c r="AM67" i="1" s="1"/>
  <c r="AN67" i="1"/>
  <c r="AO67" i="1"/>
  <c r="AL68" i="1"/>
  <c r="AM68" i="1" s="1"/>
  <c r="AN68" i="1"/>
  <c r="AO68" i="1"/>
  <c r="AL69" i="1"/>
  <c r="AM69" i="1" s="1"/>
  <c r="AN69" i="1"/>
  <c r="AO69" i="1"/>
  <c r="AL70" i="1"/>
  <c r="AM70" i="1" s="1"/>
  <c r="AN70" i="1"/>
  <c r="AO70" i="1"/>
  <c r="AL71" i="1"/>
  <c r="AM71" i="1" s="1"/>
  <c r="AN71" i="1"/>
  <c r="AO71" i="1"/>
  <c r="AL72" i="1"/>
  <c r="AM72" i="1" s="1"/>
  <c r="AN72" i="1"/>
  <c r="AO72" i="1"/>
  <c r="AL73" i="1"/>
  <c r="AM73" i="1" s="1"/>
  <c r="AN73" i="1"/>
  <c r="AO73" i="1"/>
  <c r="AL74" i="1"/>
  <c r="AM74" i="1" s="1"/>
  <c r="AN74" i="1"/>
  <c r="AO74" i="1"/>
  <c r="AL75" i="1"/>
  <c r="AM75" i="1" s="1"/>
  <c r="AN75" i="1"/>
  <c r="AO75" i="1"/>
  <c r="AL76" i="1"/>
  <c r="AM76" i="1" s="1"/>
  <c r="AN76" i="1"/>
  <c r="AO76" i="1"/>
  <c r="AL77" i="1"/>
  <c r="AM77" i="1" s="1"/>
  <c r="AN77" i="1"/>
  <c r="AO77" i="1"/>
  <c r="AL78" i="1"/>
  <c r="AM78" i="1" s="1"/>
  <c r="AN78" i="1"/>
  <c r="AO78" i="1"/>
  <c r="AL79" i="1"/>
  <c r="AM79" i="1" s="1"/>
  <c r="AN79" i="1"/>
  <c r="AO79" i="1"/>
  <c r="AL80" i="1"/>
  <c r="AM80" i="1" s="1"/>
  <c r="AN80" i="1"/>
  <c r="AO80" i="1"/>
  <c r="AL81" i="1"/>
  <c r="AM81" i="1" s="1"/>
  <c r="AN81" i="1"/>
  <c r="AO81" i="1"/>
  <c r="AL82" i="1"/>
  <c r="AM82" i="1" s="1"/>
  <c r="AN82" i="1"/>
  <c r="AO82" i="1"/>
  <c r="AL83" i="1"/>
  <c r="AM83" i="1" s="1"/>
  <c r="AN83" i="1"/>
  <c r="AO83" i="1"/>
  <c r="AL84" i="1"/>
  <c r="AM84" i="1" s="1"/>
  <c r="AN84" i="1"/>
  <c r="AO84" i="1"/>
  <c r="AL85" i="1"/>
  <c r="AM85" i="1" s="1"/>
  <c r="AN85" i="1"/>
  <c r="AO85" i="1"/>
  <c r="AL86" i="1"/>
  <c r="AM86" i="1" s="1"/>
  <c r="AN86" i="1"/>
  <c r="AO86" i="1"/>
  <c r="AL87" i="1"/>
  <c r="AM87" i="1" s="1"/>
  <c r="AN87" i="1"/>
  <c r="AO87" i="1"/>
  <c r="AL88" i="1"/>
  <c r="AM88" i="1" s="1"/>
  <c r="AN88" i="1"/>
  <c r="AO88" i="1"/>
  <c r="AL89" i="1"/>
  <c r="AM89" i="1" s="1"/>
  <c r="AN89" i="1"/>
  <c r="AO89" i="1"/>
  <c r="AL90" i="1"/>
  <c r="AM90" i="1" s="1"/>
  <c r="AN90" i="1"/>
  <c r="AO90" i="1"/>
  <c r="AL91" i="1"/>
  <c r="AM91" i="1" s="1"/>
  <c r="AN91" i="1"/>
  <c r="AO91" i="1"/>
  <c r="AL92" i="1"/>
  <c r="AM92" i="1" s="1"/>
  <c r="AN92" i="1"/>
  <c r="AO92" i="1"/>
  <c r="AL93" i="1"/>
  <c r="AM93" i="1" s="1"/>
  <c r="AN93" i="1"/>
  <c r="AO93" i="1"/>
  <c r="AL94" i="1"/>
  <c r="AM94" i="1" s="1"/>
  <c r="AN94" i="1"/>
  <c r="AO94" i="1"/>
  <c r="AL95" i="1"/>
  <c r="AM95" i="1" s="1"/>
  <c r="AN95" i="1"/>
  <c r="AO95" i="1"/>
  <c r="AL96" i="1"/>
  <c r="AM96" i="1" s="1"/>
  <c r="AN96" i="1"/>
  <c r="AO96" i="1"/>
  <c r="AL97" i="1"/>
  <c r="AM97" i="1" s="1"/>
  <c r="AN97" i="1"/>
  <c r="AO97" i="1"/>
  <c r="AL98" i="1"/>
  <c r="AM98" i="1" s="1"/>
  <c r="AN98" i="1"/>
  <c r="AO98" i="1"/>
  <c r="AL99" i="1"/>
  <c r="AM99" i="1" s="1"/>
  <c r="AN99" i="1"/>
  <c r="AO99" i="1"/>
  <c r="AL100" i="1"/>
  <c r="AM100" i="1" s="1"/>
  <c r="AN100" i="1"/>
  <c r="AO100" i="1"/>
  <c r="AL101" i="1"/>
  <c r="AM101" i="1" s="1"/>
  <c r="AN101" i="1"/>
  <c r="AO101" i="1"/>
  <c r="AL102" i="1"/>
  <c r="AM102" i="1" s="1"/>
  <c r="AN102" i="1"/>
  <c r="AO102" i="1"/>
  <c r="AL103" i="1"/>
  <c r="AM103" i="1" s="1"/>
  <c r="AN103" i="1"/>
  <c r="AO103" i="1"/>
  <c r="AL104" i="1"/>
  <c r="AM104" i="1" s="1"/>
  <c r="AN104" i="1"/>
  <c r="AO104" i="1"/>
  <c r="AL105" i="1"/>
  <c r="AM105" i="1" s="1"/>
  <c r="AN105" i="1"/>
  <c r="AO105" i="1"/>
  <c r="AL106" i="1"/>
  <c r="AM106" i="1" s="1"/>
  <c r="AN106" i="1"/>
  <c r="AO106" i="1"/>
  <c r="AL107" i="1"/>
  <c r="AM107" i="1" s="1"/>
  <c r="AN107" i="1"/>
  <c r="AO107" i="1"/>
  <c r="AL108" i="1"/>
  <c r="AM108" i="1" s="1"/>
  <c r="AN108" i="1"/>
  <c r="AO108" i="1"/>
  <c r="AL109" i="1"/>
  <c r="AM109" i="1" s="1"/>
  <c r="AN109" i="1"/>
  <c r="AO109" i="1"/>
  <c r="AL110" i="1"/>
  <c r="AM110" i="1" s="1"/>
  <c r="AN110" i="1"/>
  <c r="AO110" i="1"/>
  <c r="AL111" i="1"/>
  <c r="AM111" i="1" s="1"/>
  <c r="AN111" i="1"/>
  <c r="AO111" i="1"/>
  <c r="AL112" i="1"/>
  <c r="AM112" i="1" s="1"/>
  <c r="AN112" i="1"/>
  <c r="AO112" i="1"/>
  <c r="AL113" i="1"/>
  <c r="AM113" i="1" s="1"/>
  <c r="AN113" i="1"/>
  <c r="AO113" i="1"/>
  <c r="AL114" i="1"/>
  <c r="AM114" i="1" s="1"/>
  <c r="AN114" i="1"/>
  <c r="AO114" i="1"/>
  <c r="AL115" i="1"/>
  <c r="AM115" i="1" s="1"/>
  <c r="AN115" i="1"/>
  <c r="AO115" i="1"/>
  <c r="AL116" i="1"/>
  <c r="AM116" i="1" s="1"/>
  <c r="AN116" i="1"/>
  <c r="AO116" i="1"/>
  <c r="AL117" i="1"/>
  <c r="AM117" i="1" s="1"/>
  <c r="AN117" i="1"/>
  <c r="AO117" i="1"/>
  <c r="AL118" i="1"/>
  <c r="AM118" i="1" s="1"/>
  <c r="AN118" i="1"/>
  <c r="AO118" i="1"/>
  <c r="AL119" i="1"/>
  <c r="AM119" i="1" s="1"/>
  <c r="AN119" i="1"/>
  <c r="AO119" i="1"/>
  <c r="AL120" i="1"/>
  <c r="AM120" i="1" s="1"/>
  <c r="AN120" i="1"/>
  <c r="AO120" i="1"/>
  <c r="AL121" i="1"/>
  <c r="AM121" i="1" s="1"/>
  <c r="AN121" i="1"/>
  <c r="AO121" i="1"/>
  <c r="AL122" i="1"/>
  <c r="AM122" i="1" s="1"/>
  <c r="AN122" i="1"/>
  <c r="AO122" i="1"/>
  <c r="AL123" i="1"/>
  <c r="AM123" i="1" s="1"/>
  <c r="AN123" i="1"/>
  <c r="AO123" i="1"/>
  <c r="AL124" i="1"/>
  <c r="AM124" i="1" s="1"/>
  <c r="AN124" i="1"/>
  <c r="AO124" i="1"/>
  <c r="AL125" i="1"/>
  <c r="AM125" i="1" s="1"/>
  <c r="AN125" i="1"/>
  <c r="AO125" i="1"/>
  <c r="AL126" i="1"/>
  <c r="AM126" i="1" s="1"/>
  <c r="AN126" i="1"/>
  <c r="AO126" i="1"/>
  <c r="AL127" i="1"/>
  <c r="AM127" i="1" s="1"/>
  <c r="AN127" i="1"/>
  <c r="AO127" i="1"/>
  <c r="AL128" i="1"/>
  <c r="AM128" i="1" s="1"/>
  <c r="AN128" i="1"/>
  <c r="AO128" i="1"/>
  <c r="AL129" i="1"/>
  <c r="AM129" i="1" s="1"/>
  <c r="AN129" i="1"/>
  <c r="AO129" i="1"/>
  <c r="AL130" i="1"/>
  <c r="AM130" i="1" s="1"/>
  <c r="AN130" i="1"/>
  <c r="AO130" i="1"/>
  <c r="AL131" i="1"/>
  <c r="AM131" i="1" s="1"/>
  <c r="AN131" i="1"/>
  <c r="AO131" i="1"/>
  <c r="AL132" i="1"/>
  <c r="AM132" i="1" s="1"/>
  <c r="AN132" i="1"/>
  <c r="AO132" i="1"/>
  <c r="AL133" i="1"/>
  <c r="AM133" i="1" s="1"/>
  <c r="AN133" i="1"/>
  <c r="AO133" i="1"/>
  <c r="AL134" i="1"/>
  <c r="AM134" i="1" s="1"/>
  <c r="AN134" i="1"/>
  <c r="AO134" i="1"/>
  <c r="AL135" i="1"/>
  <c r="AM135" i="1" s="1"/>
  <c r="AN135" i="1"/>
  <c r="AO135" i="1"/>
  <c r="AL136" i="1"/>
  <c r="AM136" i="1" s="1"/>
  <c r="AN136" i="1"/>
  <c r="AO136" i="1"/>
  <c r="AL137" i="1"/>
  <c r="AM137" i="1" s="1"/>
  <c r="AN137" i="1"/>
  <c r="AO137" i="1"/>
  <c r="AL138" i="1"/>
  <c r="AM138" i="1" s="1"/>
  <c r="AN138" i="1"/>
  <c r="AO138" i="1"/>
  <c r="AL139" i="1"/>
  <c r="AM139" i="1" s="1"/>
  <c r="AN139" i="1"/>
  <c r="AO139" i="1"/>
  <c r="AL140" i="1"/>
  <c r="AM140" i="1" s="1"/>
  <c r="AN140" i="1"/>
  <c r="AO140" i="1"/>
  <c r="AL141" i="1"/>
  <c r="AM141" i="1" s="1"/>
  <c r="AN141" i="1"/>
  <c r="AO141" i="1"/>
  <c r="AL142" i="1"/>
  <c r="AM142" i="1" s="1"/>
  <c r="AN142" i="1"/>
  <c r="AO142" i="1"/>
  <c r="AL143" i="1"/>
  <c r="AM143" i="1" s="1"/>
  <c r="AN143" i="1"/>
  <c r="AO143" i="1"/>
  <c r="AL144" i="1"/>
  <c r="AM144" i="1" s="1"/>
  <c r="AN144" i="1"/>
  <c r="AO144" i="1"/>
  <c r="AL145" i="1"/>
  <c r="AM145" i="1" s="1"/>
  <c r="AN145" i="1"/>
  <c r="AO145" i="1"/>
  <c r="AL146" i="1"/>
  <c r="AM146" i="1" s="1"/>
  <c r="AN146" i="1"/>
  <c r="AO146" i="1"/>
  <c r="AL147" i="1"/>
  <c r="AM147" i="1" s="1"/>
  <c r="AN147" i="1"/>
  <c r="AO147" i="1"/>
  <c r="AL148" i="1"/>
  <c r="AM148" i="1" s="1"/>
  <c r="AN148" i="1"/>
  <c r="AO148" i="1"/>
  <c r="AL149" i="1"/>
  <c r="AM149" i="1" s="1"/>
  <c r="AN149" i="1"/>
  <c r="AO149" i="1"/>
  <c r="AL150" i="1"/>
  <c r="AM150" i="1" s="1"/>
  <c r="AN150" i="1"/>
  <c r="AO150" i="1"/>
  <c r="AL151" i="1"/>
  <c r="AM151" i="1" s="1"/>
  <c r="AN151" i="1"/>
  <c r="AO151" i="1"/>
  <c r="AL152" i="1"/>
  <c r="AM152" i="1" s="1"/>
  <c r="AN152" i="1"/>
  <c r="AO152" i="1"/>
  <c r="AL153" i="1"/>
  <c r="AM153" i="1" s="1"/>
  <c r="AN153" i="1"/>
  <c r="AO153" i="1"/>
  <c r="AL154" i="1"/>
  <c r="AM154" i="1" s="1"/>
  <c r="AN154" i="1"/>
  <c r="AO154" i="1"/>
  <c r="AL155" i="1"/>
  <c r="AM155" i="1" s="1"/>
  <c r="AN155" i="1"/>
  <c r="AO155" i="1"/>
  <c r="AL156" i="1"/>
  <c r="AM156" i="1" s="1"/>
  <c r="AN156" i="1"/>
  <c r="AO156" i="1"/>
  <c r="AL157" i="1"/>
  <c r="AM157" i="1" s="1"/>
  <c r="AN157" i="1"/>
  <c r="AO157" i="1"/>
  <c r="AL158" i="1"/>
  <c r="AM158" i="1" s="1"/>
  <c r="AN158" i="1"/>
  <c r="AO158" i="1"/>
  <c r="AL159" i="1"/>
  <c r="AM159" i="1" s="1"/>
  <c r="AN159" i="1"/>
  <c r="AO159" i="1"/>
  <c r="AL160" i="1"/>
  <c r="AM160" i="1" s="1"/>
  <c r="AN160" i="1"/>
  <c r="AO160" i="1"/>
  <c r="AL161" i="1"/>
  <c r="AM161" i="1" s="1"/>
  <c r="AN161" i="1"/>
  <c r="AO161" i="1"/>
  <c r="AL162" i="1"/>
  <c r="AM162" i="1" s="1"/>
  <c r="AN162" i="1"/>
  <c r="AO162" i="1"/>
  <c r="AL163" i="1"/>
  <c r="AM163" i="1" s="1"/>
  <c r="AN163" i="1"/>
  <c r="AO163" i="1"/>
  <c r="AL164" i="1"/>
  <c r="AM164" i="1" s="1"/>
  <c r="AN164" i="1"/>
  <c r="AO164" i="1"/>
  <c r="AL165" i="1"/>
  <c r="AM165" i="1" s="1"/>
  <c r="AN165" i="1"/>
  <c r="AO165" i="1"/>
  <c r="AL166" i="1"/>
  <c r="AM166" i="1" s="1"/>
  <c r="AN166" i="1"/>
  <c r="AO166" i="1"/>
  <c r="AL167" i="1"/>
  <c r="AM167" i="1" s="1"/>
  <c r="AN167" i="1"/>
  <c r="AO167" i="1"/>
  <c r="AL168" i="1"/>
  <c r="AM168" i="1" s="1"/>
  <c r="AN168" i="1"/>
  <c r="AO168" i="1"/>
  <c r="AL169" i="1"/>
  <c r="AM169" i="1" s="1"/>
  <c r="AN169" i="1"/>
  <c r="AO169" i="1"/>
  <c r="AL170" i="1"/>
  <c r="AM170" i="1" s="1"/>
  <c r="AN170" i="1"/>
  <c r="AO170" i="1"/>
  <c r="AL171" i="1"/>
  <c r="AM171" i="1" s="1"/>
  <c r="AN171" i="1"/>
  <c r="AO171" i="1"/>
  <c r="AL172" i="1"/>
  <c r="AM172" i="1" s="1"/>
  <c r="AN172" i="1"/>
  <c r="AO172" i="1"/>
  <c r="AL173" i="1"/>
  <c r="AM173" i="1" s="1"/>
  <c r="AN173" i="1"/>
  <c r="AO173" i="1"/>
  <c r="AL174" i="1"/>
  <c r="AM174" i="1" s="1"/>
  <c r="AN174" i="1"/>
  <c r="AO174" i="1"/>
  <c r="AL175" i="1"/>
  <c r="AM175" i="1" s="1"/>
  <c r="AN175" i="1"/>
  <c r="AO175" i="1"/>
  <c r="AL176" i="1"/>
  <c r="AM176" i="1" s="1"/>
  <c r="AN176" i="1"/>
  <c r="AO176" i="1"/>
  <c r="AL177" i="1"/>
  <c r="AM177" i="1" s="1"/>
  <c r="AN177" i="1"/>
  <c r="AO177" i="1"/>
  <c r="AL178" i="1"/>
  <c r="AM178" i="1" s="1"/>
  <c r="AN178" i="1"/>
  <c r="AO178" i="1"/>
  <c r="AL179" i="1"/>
  <c r="AM179" i="1" s="1"/>
  <c r="AN179" i="1"/>
  <c r="AO179" i="1"/>
  <c r="AL180" i="1"/>
  <c r="AM180" i="1" s="1"/>
  <c r="AN180" i="1"/>
  <c r="AO180" i="1"/>
  <c r="AL181" i="1"/>
  <c r="AM181" i="1" s="1"/>
  <c r="AN181" i="1"/>
  <c r="AO181" i="1"/>
  <c r="AL182" i="1"/>
  <c r="AM182" i="1" s="1"/>
  <c r="AN182" i="1"/>
  <c r="AO182" i="1"/>
  <c r="AL183" i="1"/>
  <c r="AM183" i="1" s="1"/>
  <c r="AN183" i="1"/>
  <c r="AO183" i="1"/>
  <c r="AL184" i="1"/>
  <c r="AM184" i="1" s="1"/>
  <c r="AN184" i="1"/>
  <c r="AO184" i="1"/>
  <c r="AL185" i="1"/>
  <c r="AM185" i="1" s="1"/>
  <c r="AN185" i="1"/>
  <c r="AO185" i="1"/>
  <c r="AL186" i="1"/>
  <c r="AM186" i="1" s="1"/>
  <c r="AN186" i="1"/>
  <c r="AO186" i="1"/>
  <c r="AL187" i="1"/>
  <c r="AM187" i="1" s="1"/>
  <c r="AN187" i="1"/>
  <c r="AO187" i="1"/>
  <c r="AL188" i="1"/>
  <c r="AM188" i="1" s="1"/>
  <c r="AN188" i="1"/>
  <c r="AO188" i="1"/>
  <c r="AL189" i="1"/>
  <c r="AM189" i="1" s="1"/>
  <c r="AN189" i="1"/>
  <c r="AO189" i="1"/>
  <c r="AL190" i="1"/>
  <c r="AM190" i="1" s="1"/>
  <c r="AN190" i="1"/>
  <c r="AO190" i="1"/>
  <c r="AL191" i="1"/>
  <c r="AM191" i="1" s="1"/>
  <c r="AN191" i="1"/>
  <c r="AO191" i="1"/>
  <c r="AL192" i="1"/>
  <c r="AM192" i="1" s="1"/>
  <c r="AN192" i="1"/>
  <c r="AO192" i="1"/>
  <c r="AL193" i="1"/>
  <c r="AM193" i="1"/>
  <c r="AN193" i="1"/>
  <c r="AO193" i="1"/>
  <c r="AL194" i="1"/>
  <c r="AM194" i="1"/>
  <c r="AN194" i="1"/>
  <c r="AO194" i="1"/>
  <c r="AL195" i="1"/>
  <c r="AM195" i="1"/>
  <c r="AN195" i="1"/>
  <c r="AO195" i="1"/>
  <c r="AL196" i="1"/>
  <c r="AM196" i="1"/>
  <c r="AN196" i="1"/>
  <c r="AO196" i="1"/>
  <c r="AL197" i="1"/>
  <c r="AM197" i="1"/>
  <c r="AN197" i="1"/>
  <c r="AO197" i="1"/>
  <c r="AL198" i="1"/>
  <c r="AM198" i="1"/>
  <c r="AN198" i="1"/>
  <c r="AO198" i="1"/>
  <c r="AL199" i="1"/>
  <c r="AM199" i="1"/>
  <c r="AN199" i="1"/>
  <c r="AO199" i="1"/>
  <c r="AL200" i="1"/>
  <c r="AM200" i="1"/>
  <c r="AN200" i="1"/>
  <c r="AO200" i="1"/>
  <c r="AL201" i="1"/>
  <c r="AM201" i="1"/>
  <c r="AN201" i="1"/>
  <c r="AO201" i="1"/>
  <c r="AL202" i="1"/>
  <c r="AM202" i="1"/>
  <c r="AN202" i="1"/>
  <c r="AO202" i="1"/>
  <c r="AL203" i="1"/>
  <c r="AM203" i="1"/>
  <c r="AN203" i="1"/>
  <c r="AO203" i="1"/>
  <c r="AL204" i="1"/>
  <c r="AM204" i="1"/>
  <c r="AN204" i="1"/>
  <c r="AO204" i="1"/>
  <c r="AL205" i="1"/>
  <c r="AM205" i="1"/>
  <c r="AN205" i="1"/>
  <c r="AO205" i="1"/>
  <c r="AL206" i="1"/>
  <c r="AM206" i="1"/>
  <c r="AN206" i="1"/>
  <c r="AO206" i="1"/>
  <c r="AL207" i="1"/>
  <c r="AM207" i="1"/>
  <c r="AN207" i="1"/>
  <c r="AO207" i="1"/>
  <c r="AL208" i="1"/>
  <c r="AM208" i="1"/>
  <c r="AN208" i="1"/>
  <c r="AO208" i="1"/>
  <c r="AL209" i="1"/>
  <c r="AM209" i="1"/>
  <c r="AN209" i="1"/>
  <c r="AO209" i="1"/>
  <c r="AL210" i="1"/>
  <c r="AM210" i="1"/>
  <c r="AN210" i="1"/>
  <c r="AO210" i="1"/>
  <c r="AL211" i="1"/>
  <c r="AM211" i="1"/>
  <c r="AN211" i="1"/>
  <c r="AO211" i="1"/>
  <c r="AL212" i="1"/>
  <c r="AM212" i="1"/>
  <c r="AN212" i="1"/>
  <c r="AO212" i="1"/>
  <c r="AL213" i="1"/>
  <c r="AM213" i="1"/>
  <c r="AN213" i="1"/>
  <c r="AO213" i="1"/>
  <c r="AL214" i="1"/>
  <c r="AM214" i="1"/>
  <c r="AN214" i="1"/>
  <c r="AO214" i="1"/>
  <c r="AL215" i="1"/>
  <c r="AM215" i="1"/>
  <c r="AN215" i="1"/>
  <c r="AO215" i="1"/>
  <c r="AL216" i="1"/>
  <c r="AM216" i="1"/>
  <c r="AN216" i="1"/>
  <c r="AO216" i="1"/>
  <c r="AL217" i="1"/>
  <c r="AM217" i="1"/>
  <c r="AN217" i="1"/>
  <c r="AO217" i="1"/>
  <c r="AL218" i="1"/>
  <c r="AM218" i="1"/>
  <c r="AN218" i="1"/>
  <c r="AO218" i="1"/>
  <c r="AL219" i="1"/>
  <c r="AM219" i="1"/>
  <c r="AN219" i="1"/>
  <c r="AO219" i="1"/>
  <c r="AL220" i="1"/>
  <c r="AM220" i="1"/>
  <c r="AN220" i="1"/>
  <c r="AO220" i="1"/>
  <c r="AL221" i="1"/>
  <c r="AM221" i="1"/>
  <c r="AN221" i="1"/>
  <c r="AO221" i="1"/>
  <c r="AL222" i="1"/>
  <c r="AM222" i="1"/>
  <c r="AN222" i="1"/>
  <c r="AO222" i="1"/>
  <c r="AL223" i="1"/>
  <c r="AM223" i="1"/>
  <c r="AN223" i="1"/>
  <c r="AO223" i="1"/>
  <c r="AL224" i="1"/>
  <c r="AM224" i="1"/>
  <c r="AN224" i="1"/>
  <c r="AO224" i="1"/>
  <c r="AL225" i="1"/>
  <c r="AM225" i="1"/>
  <c r="AN225" i="1"/>
  <c r="AO225" i="1"/>
  <c r="AL226" i="1"/>
  <c r="AM226" i="1" s="1"/>
  <c r="AN226" i="1"/>
  <c r="AO226" i="1" s="1"/>
  <c r="AL227" i="1"/>
  <c r="AM227" i="1" s="1"/>
  <c r="AN227" i="1"/>
  <c r="AO227" i="1" s="1"/>
  <c r="AL228" i="1"/>
  <c r="AM228" i="1" s="1"/>
  <c r="AN228" i="1"/>
  <c r="AO228" i="1" s="1"/>
  <c r="AL229" i="1"/>
  <c r="AM229" i="1" s="1"/>
  <c r="AN229" i="1"/>
  <c r="AO229" i="1" s="1"/>
  <c r="AL230" i="1"/>
  <c r="AM230" i="1" s="1"/>
  <c r="AN230" i="1"/>
  <c r="AO230" i="1"/>
  <c r="AL231" i="1"/>
  <c r="AM231" i="1" s="1"/>
  <c r="AN231" i="1"/>
  <c r="AO231" i="1" s="1"/>
  <c r="AL232" i="1"/>
  <c r="AM232" i="1" s="1"/>
  <c r="AN232" i="1"/>
  <c r="AO232" i="1" s="1"/>
  <c r="AL233" i="1"/>
  <c r="AM233" i="1" s="1"/>
  <c r="AN233" i="1"/>
  <c r="AO233" i="1" s="1"/>
  <c r="AL234" i="1"/>
  <c r="AM234" i="1" s="1"/>
  <c r="AN234" i="1"/>
  <c r="AO234" i="1" s="1"/>
  <c r="AL235" i="1"/>
  <c r="AM235" i="1" s="1"/>
  <c r="AN235" i="1"/>
  <c r="AO235" i="1" s="1"/>
  <c r="AL236" i="1"/>
  <c r="AM236" i="1" s="1"/>
  <c r="AN236" i="1"/>
  <c r="AO236" i="1" s="1"/>
  <c r="AL237" i="1"/>
  <c r="AM237" i="1" s="1"/>
  <c r="AN237" i="1"/>
  <c r="AO237" i="1" s="1"/>
  <c r="AL238" i="1"/>
  <c r="AM238" i="1" s="1"/>
  <c r="AN238" i="1"/>
  <c r="AO238" i="1" s="1"/>
  <c r="AL239" i="1"/>
  <c r="AM239" i="1" s="1"/>
  <c r="AN239" i="1"/>
  <c r="AO239" i="1" s="1"/>
  <c r="AL240" i="1"/>
  <c r="AM240" i="1" s="1"/>
  <c r="AN240" i="1"/>
  <c r="AO240" i="1" s="1"/>
  <c r="AL241" i="1"/>
  <c r="AM241" i="1" s="1"/>
  <c r="AN241" i="1"/>
  <c r="AO241" i="1" s="1"/>
  <c r="AL242" i="1"/>
  <c r="AM242" i="1" s="1"/>
  <c r="AN242" i="1"/>
  <c r="AO242" i="1" s="1"/>
  <c r="AL243" i="1"/>
  <c r="AM243" i="1" s="1"/>
  <c r="AN243" i="1"/>
  <c r="AO243" i="1" s="1"/>
  <c r="AL244" i="1"/>
  <c r="AM244" i="1" s="1"/>
  <c r="AN244" i="1"/>
  <c r="AO244" i="1" s="1"/>
  <c r="AL245" i="1"/>
  <c r="AM245" i="1" s="1"/>
  <c r="AN245" i="1"/>
  <c r="AO245" i="1" s="1"/>
  <c r="AL246" i="1"/>
  <c r="AM246" i="1" s="1"/>
  <c r="AN246" i="1"/>
  <c r="AO246" i="1"/>
  <c r="AL247" i="1"/>
  <c r="AM247" i="1" s="1"/>
  <c r="AN247" i="1"/>
  <c r="AO247" i="1" s="1"/>
  <c r="AL248" i="1"/>
  <c r="AM248" i="1" s="1"/>
  <c r="AN248" i="1"/>
  <c r="AO248" i="1" s="1"/>
  <c r="AL249" i="1"/>
  <c r="AM249" i="1" s="1"/>
  <c r="AN249" i="1"/>
  <c r="AO249" i="1" s="1"/>
  <c r="AL250" i="1"/>
  <c r="AM250" i="1" s="1"/>
  <c r="AN250" i="1"/>
  <c r="AO250" i="1"/>
  <c r="AL251" i="1"/>
  <c r="AM251" i="1" s="1"/>
  <c r="AN251" i="1"/>
  <c r="AO251" i="1" s="1"/>
  <c r="AL252" i="1"/>
  <c r="AM252" i="1" s="1"/>
  <c r="AN252" i="1"/>
  <c r="AO252" i="1" s="1"/>
  <c r="AL253" i="1"/>
  <c r="AM253" i="1" s="1"/>
  <c r="AN253" i="1"/>
  <c r="AO253" i="1" s="1"/>
  <c r="AL254" i="1"/>
  <c r="AM254" i="1" s="1"/>
  <c r="AN254" i="1"/>
  <c r="AO254" i="1"/>
  <c r="AL255" i="1"/>
  <c r="AM255" i="1" s="1"/>
  <c r="AN255" i="1"/>
  <c r="AO255" i="1" s="1"/>
  <c r="AL256" i="1"/>
  <c r="AM256" i="1" s="1"/>
  <c r="AN256" i="1"/>
  <c r="AO256" i="1" s="1"/>
  <c r="AL257" i="1"/>
  <c r="AM257" i="1" s="1"/>
  <c r="AN257" i="1"/>
  <c r="AO257" i="1" s="1"/>
  <c r="AL258" i="1"/>
  <c r="AM258" i="1" s="1"/>
  <c r="AN258" i="1"/>
  <c r="AO258" i="1" s="1"/>
  <c r="AL259" i="1"/>
  <c r="AM259" i="1" s="1"/>
  <c r="AN259" i="1"/>
  <c r="AO259" i="1" s="1"/>
  <c r="AL260" i="1"/>
  <c r="AM260" i="1" s="1"/>
  <c r="AN260" i="1"/>
  <c r="AO260" i="1" s="1"/>
  <c r="AL261" i="1"/>
  <c r="AM261" i="1" s="1"/>
  <c r="AN261" i="1"/>
  <c r="AO261" i="1" s="1"/>
  <c r="AL262" i="1"/>
  <c r="AM262" i="1" s="1"/>
  <c r="AN262" i="1"/>
  <c r="AO262" i="1"/>
  <c r="AL263" i="1"/>
  <c r="AM263" i="1" s="1"/>
  <c r="AN263" i="1"/>
  <c r="AO263" i="1" s="1"/>
  <c r="AL264" i="1"/>
  <c r="AM264" i="1" s="1"/>
  <c r="AN264" i="1"/>
  <c r="AO264" i="1" s="1"/>
  <c r="AL265" i="1"/>
  <c r="AM265" i="1" s="1"/>
  <c r="AN265" i="1"/>
  <c r="AO265" i="1" s="1"/>
  <c r="AL266" i="1"/>
  <c r="AM266" i="1" s="1"/>
  <c r="AN266" i="1"/>
  <c r="AO266" i="1" s="1"/>
  <c r="AL267" i="1"/>
  <c r="AM267" i="1" s="1"/>
  <c r="AN267" i="1"/>
  <c r="AO267" i="1" s="1"/>
  <c r="AL268" i="1"/>
  <c r="AM268" i="1" s="1"/>
  <c r="AN268" i="1"/>
  <c r="AO268" i="1" s="1"/>
  <c r="AL269" i="1"/>
  <c r="AM269" i="1" s="1"/>
  <c r="AN269" i="1"/>
  <c r="AO269" i="1" s="1"/>
  <c r="AL270" i="1"/>
  <c r="AM270" i="1" s="1"/>
  <c r="AN270" i="1"/>
  <c r="AO270" i="1"/>
  <c r="AL271" i="1"/>
  <c r="AM271" i="1" s="1"/>
  <c r="AN271" i="1"/>
  <c r="AO271" i="1" s="1"/>
  <c r="AL272" i="1"/>
  <c r="AM272" i="1" s="1"/>
  <c r="AN272" i="1"/>
  <c r="AO272" i="1" s="1"/>
  <c r="AL273" i="1"/>
  <c r="AM273" i="1" s="1"/>
  <c r="AN273" i="1"/>
  <c r="AO273" i="1" s="1"/>
  <c r="AL274" i="1"/>
  <c r="AM274" i="1" s="1"/>
  <c r="AN274" i="1"/>
  <c r="AO274" i="1" s="1"/>
  <c r="AL275" i="1"/>
  <c r="AM275" i="1" s="1"/>
  <c r="AN275" i="1"/>
  <c r="AO275" i="1" s="1"/>
  <c r="AL276" i="1"/>
  <c r="AM276" i="1" s="1"/>
  <c r="AN276" i="1"/>
  <c r="AO276" i="1" s="1"/>
  <c r="AL277" i="1"/>
  <c r="AM277" i="1" s="1"/>
  <c r="AN277" i="1"/>
  <c r="AO277" i="1" s="1"/>
  <c r="AL278" i="1"/>
  <c r="AM278" i="1" s="1"/>
  <c r="AN278" i="1"/>
  <c r="AO278" i="1"/>
  <c r="AL279" i="1"/>
  <c r="AM279" i="1" s="1"/>
  <c r="AN279" i="1"/>
  <c r="AO279" i="1" s="1"/>
  <c r="AL280" i="1"/>
  <c r="AM280" i="1" s="1"/>
  <c r="AN280" i="1"/>
  <c r="AO280" i="1" s="1"/>
  <c r="AL281" i="1"/>
  <c r="AM281" i="1" s="1"/>
  <c r="AN281" i="1"/>
  <c r="AO281" i="1" s="1"/>
  <c r="AL282" i="1"/>
  <c r="AM282" i="1" s="1"/>
  <c r="AN282" i="1"/>
  <c r="AO282" i="1" s="1"/>
  <c r="AL283" i="1"/>
  <c r="AM283" i="1" s="1"/>
  <c r="AN283" i="1"/>
  <c r="AO283" i="1" s="1"/>
  <c r="AL284" i="1"/>
  <c r="AM284" i="1" s="1"/>
  <c r="AN284" i="1"/>
  <c r="AO284" i="1" s="1"/>
  <c r="AL285" i="1"/>
  <c r="AM285" i="1" s="1"/>
  <c r="AN285" i="1"/>
  <c r="AO285" i="1" s="1"/>
  <c r="AL286" i="1"/>
  <c r="AM286" i="1" s="1"/>
  <c r="AN286" i="1"/>
  <c r="AO286" i="1" s="1"/>
  <c r="AL287" i="1"/>
  <c r="AM287" i="1" s="1"/>
  <c r="AN287" i="1"/>
  <c r="AO287" i="1" s="1"/>
  <c r="AL288" i="1"/>
  <c r="AM288" i="1" s="1"/>
  <c r="AN288" i="1"/>
  <c r="AO288" i="1" s="1"/>
  <c r="AL289" i="1"/>
  <c r="AM289" i="1" s="1"/>
  <c r="AN289" i="1"/>
  <c r="AO289" i="1" s="1"/>
  <c r="AL290" i="1"/>
  <c r="AM290" i="1" s="1"/>
  <c r="AN290" i="1"/>
  <c r="AO290" i="1"/>
  <c r="AL291" i="1"/>
  <c r="AM291" i="1" s="1"/>
  <c r="AN291" i="1"/>
  <c r="AO291" i="1" s="1"/>
  <c r="AL292" i="1"/>
  <c r="AM292" i="1" s="1"/>
  <c r="AN292" i="1"/>
  <c r="AO292" i="1" s="1"/>
  <c r="AL293" i="1"/>
  <c r="AM293" i="1" s="1"/>
  <c r="AN293" i="1"/>
  <c r="AO293" i="1" s="1"/>
  <c r="AL294" i="1"/>
  <c r="AM294" i="1" s="1"/>
  <c r="AN294" i="1"/>
  <c r="AO294" i="1"/>
  <c r="AL295" i="1"/>
  <c r="AM295" i="1" s="1"/>
  <c r="AN295" i="1"/>
  <c r="AO295" i="1" s="1"/>
  <c r="AL296" i="1"/>
  <c r="AM296" i="1" s="1"/>
  <c r="AN296" i="1"/>
  <c r="AO296" i="1" s="1"/>
  <c r="AL297" i="1"/>
  <c r="AM297" i="1" s="1"/>
  <c r="AN297" i="1"/>
  <c r="AO297" i="1" s="1"/>
  <c r="AL298" i="1"/>
  <c r="AM298" i="1" s="1"/>
  <c r="AN298" i="1"/>
  <c r="AO298" i="1" s="1"/>
  <c r="AL299" i="1"/>
  <c r="AM299" i="1" s="1"/>
  <c r="AN299" i="1"/>
  <c r="AO299" i="1" s="1"/>
  <c r="AL300" i="1"/>
  <c r="AM300" i="1" s="1"/>
  <c r="AN300" i="1"/>
  <c r="AO300" i="1" s="1"/>
  <c r="AL301" i="1"/>
  <c r="AM301" i="1" s="1"/>
  <c r="AN301" i="1"/>
  <c r="AO301" i="1" s="1"/>
  <c r="AL302" i="1"/>
  <c r="AM302" i="1" s="1"/>
  <c r="AN302" i="1"/>
  <c r="AO302" i="1"/>
  <c r="AL303" i="1"/>
  <c r="AM303" i="1" s="1"/>
  <c r="AN303" i="1"/>
  <c r="AO303" i="1" s="1"/>
  <c r="AL304" i="1"/>
  <c r="AM304" i="1" s="1"/>
  <c r="AN304" i="1"/>
  <c r="AO304" i="1"/>
  <c r="AL305" i="1"/>
  <c r="AM305" i="1" s="1"/>
  <c r="AN305" i="1"/>
  <c r="AO305" i="1" s="1"/>
  <c r="AL306" i="1"/>
  <c r="AM306" i="1" s="1"/>
  <c r="AN306" i="1"/>
  <c r="AO306" i="1" s="1"/>
  <c r="AL307" i="1"/>
  <c r="AM307" i="1" s="1"/>
  <c r="AN307" i="1"/>
  <c r="AO307" i="1" s="1"/>
  <c r="AL308" i="1"/>
  <c r="AM308" i="1" s="1"/>
  <c r="AN308" i="1"/>
  <c r="AO308" i="1" s="1"/>
  <c r="AL309" i="1"/>
  <c r="AM309" i="1" s="1"/>
  <c r="AN309" i="1"/>
  <c r="AO309" i="1" s="1"/>
  <c r="AL310" i="1"/>
  <c r="AM310" i="1" s="1"/>
  <c r="AN310" i="1"/>
  <c r="AO310" i="1"/>
  <c r="AL311" i="1"/>
  <c r="AM311" i="1" s="1"/>
  <c r="AN311" i="1"/>
  <c r="AO311" i="1" s="1"/>
  <c r="AL312" i="1"/>
  <c r="AM312" i="1" s="1"/>
  <c r="AN312" i="1"/>
  <c r="AO312" i="1" s="1"/>
  <c r="AL313" i="1"/>
  <c r="AM313" i="1" s="1"/>
  <c r="AN313" i="1"/>
  <c r="AO313" i="1" s="1"/>
  <c r="AL314" i="1"/>
  <c r="AM314" i="1" s="1"/>
  <c r="AN314" i="1"/>
  <c r="AO314" i="1"/>
  <c r="AL315" i="1"/>
  <c r="AM315" i="1" s="1"/>
  <c r="AN315" i="1"/>
  <c r="AO315" i="1" s="1"/>
  <c r="AL320" i="1"/>
  <c r="AM320" i="1" s="1"/>
  <c r="AN320" i="1"/>
  <c r="AO320" i="1" s="1"/>
  <c r="AL321" i="1"/>
  <c r="AM321" i="1" s="1"/>
  <c r="AN321" i="1"/>
  <c r="AO321" i="1" s="1"/>
  <c r="AL322" i="1"/>
  <c r="AM322" i="1" s="1"/>
  <c r="AN322" i="1"/>
  <c r="AO322" i="1" s="1"/>
  <c r="AL323" i="1"/>
  <c r="AM323" i="1" s="1"/>
  <c r="AN323" i="1"/>
  <c r="AO323" i="1" s="1"/>
  <c r="AL324" i="1"/>
  <c r="AM324" i="1" s="1"/>
  <c r="AN324" i="1"/>
  <c r="AO324" i="1" s="1"/>
  <c r="AL325" i="1"/>
  <c r="AM325" i="1" s="1"/>
  <c r="AN325" i="1"/>
  <c r="AO325" i="1" s="1"/>
  <c r="AL326" i="1"/>
  <c r="AM326" i="1" s="1"/>
  <c r="AN326" i="1"/>
  <c r="AO326" i="1" s="1"/>
  <c r="AL327" i="1"/>
  <c r="AM327" i="1" s="1"/>
  <c r="AN327" i="1"/>
  <c r="AO327" i="1" s="1"/>
  <c r="AL328" i="1"/>
  <c r="AM328" i="1" s="1"/>
  <c r="AN328" i="1"/>
  <c r="AO328" i="1" s="1"/>
  <c r="AL329" i="1"/>
  <c r="AM329" i="1" s="1"/>
  <c r="AN329" i="1"/>
  <c r="AO329" i="1" s="1"/>
  <c r="AL330" i="1"/>
  <c r="AM330" i="1" s="1"/>
  <c r="AN330" i="1"/>
  <c r="AO330" i="1" s="1"/>
  <c r="AL331" i="1"/>
  <c r="AM331" i="1" s="1"/>
  <c r="AN331" i="1"/>
  <c r="AO331" i="1" s="1"/>
  <c r="AL332" i="1"/>
  <c r="AM332" i="1" s="1"/>
  <c r="AN332" i="1"/>
  <c r="AO332" i="1" s="1"/>
  <c r="AL333" i="1"/>
  <c r="AM333" i="1" s="1"/>
  <c r="AN333" i="1"/>
  <c r="AO333" i="1" s="1"/>
  <c r="AO13" i="1"/>
  <c r="AN13" i="1"/>
  <c r="AL13" i="1"/>
  <c r="AM13" i="1" s="1"/>
</calcChain>
</file>

<file path=xl/sharedStrings.xml><?xml version="1.0" encoding="utf-8"?>
<sst xmlns="http://schemas.openxmlformats.org/spreadsheetml/2006/main" count="7380" uniqueCount="1863">
  <si>
    <t>UNIDAD DE SERVICIOS PARA LA EDUCACIÓN BÁSICA EN EL ESTADO DE QUERÉTARO</t>
  </si>
  <si>
    <t>(Aprobadas todas las asignaturas)</t>
  </si>
  <si>
    <t>INDICADORES TOTALES</t>
  </si>
  <si>
    <t>SUBCOORDINACIÓN GESTIÓN ADMINISTRATIVA</t>
  </si>
  <si>
    <t>EXISTENCIA</t>
  </si>
  <si>
    <t>APROBADOS</t>
  </si>
  <si>
    <t>REGULARIZADOS</t>
  </si>
  <si>
    <t>TITULADOS</t>
  </si>
  <si>
    <t>EFICIENCIA TERMINAL</t>
  </si>
  <si>
    <t>DIRECCIÓN DE PLANEACIÓN EDUCATIVA</t>
  </si>
  <si>
    <t>TOTAL</t>
  </si>
  <si>
    <t>HOMBRES</t>
  </si>
  <si>
    <t>MUJERES</t>
  </si>
  <si>
    <t>%</t>
  </si>
  <si>
    <t>MATRÍCULA 2023-2024</t>
  </si>
  <si>
    <t>NVO. INGRESO 1° 2023-2024</t>
  </si>
  <si>
    <t>EGRESADOS 2022-2023</t>
  </si>
  <si>
    <t>MATRÍCULA 2022-2023</t>
  </si>
  <si>
    <t>EGRESADOS
2022-2023</t>
  </si>
  <si>
    <t>MATRICULA ÚLTIMO AÑO 2022-23</t>
  </si>
  <si>
    <t>NVO. INGRESO 1º  CICLO DE INICIO MS</t>
  </si>
  <si>
    <t>DEPARTAMENTO DE ESTADÍSTICA</t>
  </si>
  <si>
    <r>
      <rPr>
        <b/>
        <sz val="12"/>
        <color theme="1"/>
        <rFont val="Century Gothic"/>
        <family val="2"/>
      </rPr>
      <t>Reporte de Indicadores de Eficiencia Educativa de Media Superior</t>
    </r>
    <r>
      <rPr>
        <b/>
        <sz val="10"/>
        <color theme="1"/>
        <rFont val="Century Gothic"/>
        <family val="2"/>
      </rPr>
      <t xml:space="preserve"> (sumarizado por Escuela NO CARRERA)</t>
    </r>
  </si>
  <si>
    <t>FIN DE CICLO 2022-2023</t>
  </si>
  <si>
    <t>DESERCIÓN</t>
  </si>
  <si>
    <t>SERVICIO / SOSTENIMIENTO / DEPENDENCIA</t>
  </si>
  <si>
    <t xml:space="preserve">UBICACIÓN </t>
  </si>
  <si>
    <t>INFORMACIÓN RESPONSABLE CT</t>
  </si>
  <si>
    <t>REGIÓN</t>
  </si>
  <si>
    <t>PLANTEL</t>
  </si>
  <si>
    <t>ESCUELA</t>
  </si>
  <si>
    <t>TIPO</t>
  </si>
  <si>
    <t xml:space="preserve">NIVEL  </t>
  </si>
  <si>
    <t>SUBNIVEL</t>
  </si>
  <si>
    <t>CONTROL</t>
  </si>
  <si>
    <t>TIPO SOSTENIMIENTO</t>
  </si>
  <si>
    <t>DEPENDENCIA 
OPERATIVA</t>
  </si>
  <si>
    <t>CATEGORÍA
POBLACIÓN</t>
  </si>
  <si>
    <t>GRADO
MARGINACIÓN</t>
  </si>
  <si>
    <t>MUNICIPIO</t>
  </si>
  <si>
    <t>LOCALIDAD</t>
  </si>
  <si>
    <t>ASENTAMIENTO</t>
  </si>
  <si>
    <t>VIALIDAD
 PRINCIPAL</t>
  </si>
  <si>
    <t>NUM. EXTERIOR</t>
  </si>
  <si>
    <t>DIRECTOR /
 RESPONSABLE CENTRO DE TRABAJO</t>
  </si>
  <si>
    <t>TELÉFONO</t>
  </si>
  <si>
    <t>EXTENSIÓN</t>
  </si>
  <si>
    <t>CLAVE 
SER. REG.</t>
  </si>
  <si>
    <t>SERVICIO 
REGIONAL</t>
  </si>
  <si>
    <t>CLAVE PLANTEL</t>
  </si>
  <si>
    <t>NOMBRE
 PLANTEL</t>
  </si>
  <si>
    <t>CLAVE</t>
  </si>
  <si>
    <t>NOMBRE</t>
  </si>
  <si>
    <t xml:space="preserve">TURNO </t>
  </si>
  <si>
    <t>BACHILLERATO</t>
  </si>
  <si>
    <t>BACHILLERATO GENERAL</t>
  </si>
  <si>
    <t>BACHILLERATO GENERAL SIN FORMACIÓN PARA EL TRABAJO</t>
  </si>
  <si>
    <t>PÚBLICO</t>
  </si>
  <si>
    <t>FEDERAL</t>
  </si>
  <si>
    <t>SECRETARÍA DE EDUCACIÓN PÚBLICA</t>
  </si>
  <si>
    <t>URBANO</t>
  </si>
  <si>
    <t>MUY BAJO</t>
  </si>
  <si>
    <t>QUERÉTARO</t>
  </si>
  <si>
    <t>SANTIAGO DE QUERÉTARO</t>
  </si>
  <si>
    <t>CENTRO SUR</t>
  </si>
  <si>
    <t>CIRCUITO PLAN VIDA</t>
  </si>
  <si>
    <t>GUTIÉRREZ RODRÍGUEZ DULCE ELENA</t>
  </si>
  <si>
    <t>4421531970</t>
  </si>
  <si>
    <t>3771</t>
  </si>
  <si>
    <t>22ADG0001Z</t>
  </si>
  <si>
    <t>REGIÓN IV</t>
  </si>
  <si>
    <t>22MMS0001R</t>
  </si>
  <si>
    <t>CEDART IGNACIO MARIANO DE LAS CASAS</t>
  </si>
  <si>
    <t>22DAR0005B</t>
  </si>
  <si>
    <t>MATUTINO</t>
  </si>
  <si>
    <t>SANTA MARÍA MAGDALENA</t>
  </si>
  <si>
    <t>NINGUNO</t>
  </si>
  <si>
    <t>AVENIDA REVOLUCIÓN</t>
  </si>
  <si>
    <t>GUERRA BECERRA HECTOR OCTAVIO</t>
  </si>
  <si>
    <t>4421930383</t>
  </si>
  <si>
    <t/>
  </si>
  <si>
    <t>22MMS0008K</t>
  </si>
  <si>
    <t>CAED QUERETARO</t>
  </si>
  <si>
    <t>22DER0002A</t>
  </si>
  <si>
    <t>DISCONTINUO</t>
  </si>
  <si>
    <t>TEQUISQUIAPAN</t>
  </si>
  <si>
    <t>ADOLFO LOPEZ MATEOS</t>
  </si>
  <si>
    <t>CALLE PAVIMENTADA</t>
  </si>
  <si>
    <t>SARMIENTO MERCADO J. CUPERTINO</t>
  </si>
  <si>
    <t>4142731601</t>
  </si>
  <si>
    <t>22ADG0057B</t>
  </si>
  <si>
    <t>REGIÓN III</t>
  </si>
  <si>
    <t>22MMS0257R</t>
  </si>
  <si>
    <t>CENTRO DE ATENCION PARA ESTUDIANTES CON DISCAPACIDAD, CECATI 122</t>
  </si>
  <si>
    <t>22DER0003Z</t>
  </si>
  <si>
    <t>ESTATAL</t>
  </si>
  <si>
    <t>SECRETARÍA DE EDUCACIÓN DEL GOBIERNO DEL ESTADO</t>
  </si>
  <si>
    <t>VILLAS DEL SOL</t>
  </si>
  <si>
    <t>CALLE SIERRA DE TILACO</t>
  </si>
  <si>
    <t>SCHEKER ROMAN ORLANDO DE JESÚS</t>
  </si>
  <si>
    <t>4422138795</t>
  </si>
  <si>
    <t>104</t>
  </si>
  <si>
    <t>22MMS0017S</t>
  </si>
  <si>
    <t>COLEGIO NACIONAL DE DANZA CONTEMPORANEA</t>
  </si>
  <si>
    <t>22EAR0001E</t>
  </si>
  <si>
    <t>BACHILLERATO GENERAL CON FORMACIÓN PARA EL TRABAJO</t>
  </si>
  <si>
    <t>OTROS ORGANISMOS ESTATALES</t>
  </si>
  <si>
    <t>INSURGENTES</t>
  </si>
  <si>
    <t>CALLE ACCESO SATELITE</t>
  </si>
  <si>
    <t>QUITERIO MENDOZA RODOLFO</t>
  </si>
  <si>
    <t>22MMS0018R</t>
  </si>
  <si>
    <t>COBAQ PLANTEL NUM. 1 SATELITE</t>
  </si>
  <si>
    <t>22ECB0001B</t>
  </si>
  <si>
    <t>VESPERTINO</t>
  </si>
  <si>
    <t>AMEALCO DE BONFIL</t>
  </si>
  <si>
    <t>LA PRIMAVERA</t>
  </si>
  <si>
    <t>CALLE MIRASOL</t>
  </si>
  <si>
    <t>SOTO RAMIREZ MARIA ELENA</t>
  </si>
  <si>
    <t>4482780938</t>
  </si>
  <si>
    <t>22MMS0019Q</t>
  </si>
  <si>
    <t>COBAQ PLANTEL NUM. 2 AMEALCO</t>
  </si>
  <si>
    <t>22ECB0002A</t>
  </si>
  <si>
    <t>CORREGIDORA</t>
  </si>
  <si>
    <t>SAN JOSÉ DE LOS OLVERA</t>
  </si>
  <si>
    <t>CALLE KILOMETRO 1 CAMINO A LOS OLVERA</t>
  </si>
  <si>
    <t>HERNANDEZ GARCIA MARIA ELVIA ELIZA</t>
  </si>
  <si>
    <t>4422280281</t>
  </si>
  <si>
    <t>22MMS0020F</t>
  </si>
  <si>
    <t>COBAQ PLANTEL NUM. 3 CORREGIDORA</t>
  </si>
  <si>
    <t>22ECB0003Z</t>
  </si>
  <si>
    <t>JALPAN DE SERRA</t>
  </si>
  <si>
    <t>PUERTO DE SAN NICOLAS</t>
  </si>
  <si>
    <t>CALLE JALISCO</t>
  </si>
  <si>
    <t>SANCHEZ RANGEL SUSANA</t>
  </si>
  <si>
    <t>4412960135</t>
  </si>
  <si>
    <t>22ADG0002Z</t>
  </si>
  <si>
    <t>REGIÓN I</t>
  </si>
  <si>
    <t>22MMS0021E</t>
  </si>
  <si>
    <t>COBAQ PLANTEL NUM. 4 JALPAN</t>
  </si>
  <si>
    <t>22ECB0004Z</t>
  </si>
  <si>
    <t>CADEREYTA DE MONTES</t>
  </si>
  <si>
    <t>BOULEVARD MANUEL GÓMEZ MORÍN</t>
  </si>
  <si>
    <t>ESTRADA MUÑOZ JUAN OSCAR</t>
  </si>
  <si>
    <t>4412760350</t>
  </si>
  <si>
    <t>22ADG0056C</t>
  </si>
  <si>
    <t>REGIÓN II</t>
  </si>
  <si>
    <t>22MMS0022D</t>
  </si>
  <si>
    <t>COBAQ PLANTEL NUM. 5 CADEREYTA</t>
  </si>
  <si>
    <t>22ECB0005Y</t>
  </si>
  <si>
    <t>S/D CONAPO</t>
  </si>
  <si>
    <t>TOLIMÁN</t>
  </si>
  <si>
    <t>HORNO DE CAL</t>
  </si>
  <si>
    <t>CALLE KILOMETRO 2.5 CARRETERA TOLIMAN-BERNAL</t>
  </si>
  <si>
    <t>ALARCON VILLA RAUL</t>
  </si>
  <si>
    <t>22MMS0023C</t>
  </si>
  <si>
    <t>COBAQ PLANTEL NUM. 6 TOLIMAN</t>
  </si>
  <si>
    <t>22ECB0006X</t>
  </si>
  <si>
    <t>EL MARQUÉS</t>
  </si>
  <si>
    <t>LA CAÑADA</t>
  </si>
  <si>
    <t>CENTRO</t>
  </si>
  <si>
    <t>CALLE HEROICO COLEGIO MILITAR</t>
  </si>
  <si>
    <t>NIEVES TOVAR MARIA REINA</t>
  </si>
  <si>
    <t>22MMS0024B</t>
  </si>
  <si>
    <t>COBAQ PLANTEL NUM. 7 EL MARQUES</t>
  </si>
  <si>
    <t>22ECB0007W</t>
  </si>
  <si>
    <t>AZTECA</t>
  </si>
  <si>
    <t>CALLE AXAYACATL</t>
  </si>
  <si>
    <t>MARTINEZ ESQUIVEL OLGA ELENA</t>
  </si>
  <si>
    <t>22MMS0025A</t>
  </si>
  <si>
    <t>COBAQ PLANTEL NUM. 8 AZTECA</t>
  </si>
  <si>
    <t>22ECB0008V</t>
  </si>
  <si>
    <t>SANTA ROSA JÁUREGUI</t>
  </si>
  <si>
    <t>AVENIDA 20 DE NOVIEMBRE PONIENTE</t>
  </si>
  <si>
    <t>ORTEGA TOVAR AGUSTIN</t>
  </si>
  <si>
    <t>4422910522</t>
  </si>
  <si>
    <t>22MMS0026Z</t>
  </si>
  <si>
    <t>COBAQ PLANTEL NUM. 9 SANTA ROSA JAUREGUI</t>
  </si>
  <si>
    <t>22ECB0009U</t>
  </si>
  <si>
    <t>SAN JUAN DEL RÍO</t>
  </si>
  <si>
    <t>SAN PEDRO AHUACATLÁN [EJIDO]</t>
  </si>
  <si>
    <t>CALLE CARRETERA A SAN PEDRO AHUACATLAN KILOMETRO 2.5</t>
  </si>
  <si>
    <t>GAUCIN RIOS NOE</t>
  </si>
  <si>
    <t>4272712233</t>
  </si>
  <si>
    <t>22MMS0027Z</t>
  </si>
  <si>
    <t>COBAQ PLANTEL NUM. 10 SAN JUAN DEL RIO</t>
  </si>
  <si>
    <t>22ECB0010J</t>
  </si>
  <si>
    <t>RURAL</t>
  </si>
  <si>
    <t>BAJO</t>
  </si>
  <si>
    <t>EZEQUIEL MONTES</t>
  </si>
  <si>
    <t>LA PURÍSIMA</t>
  </si>
  <si>
    <t>NINGUNO CAMINO A LOS VELÁZQUEZ</t>
  </si>
  <si>
    <t>TREJO HERNANDEZ JORGE</t>
  </si>
  <si>
    <t>4412771894</t>
  </si>
  <si>
    <t>103</t>
  </si>
  <si>
    <t>22MMS0028Y</t>
  </si>
  <si>
    <t>COBAQ PLANTEL NUM. 11 EZEQUIEL MONTES</t>
  </si>
  <si>
    <t>22ECB0011I</t>
  </si>
  <si>
    <t>PROLONGACIÓN ALVARO OBREGON</t>
  </si>
  <si>
    <t>RESENDIZ MAYORGA JOSÉ JUAN GABRIEL</t>
  </si>
  <si>
    <t>4142734740</t>
  </si>
  <si>
    <t>22MMS0029X</t>
  </si>
  <si>
    <t>COBAQ PLANTEL NUM. 12 TEQUISQUIAPAN</t>
  </si>
  <si>
    <t>22ECB0012H</t>
  </si>
  <si>
    <t>SAN PEDRITO PEÑUELAS I</t>
  </si>
  <si>
    <t>AVENIDA PIE DE LA CUESTA</t>
  </si>
  <si>
    <t>SNCHEZ GONZALEZ GONZALO DE JESÚS</t>
  </si>
  <si>
    <t>4422431895</t>
  </si>
  <si>
    <t>22MMS0030M</t>
  </si>
  <si>
    <t>COBAQ PLANTEL NUM. 13 EPIGMENIO GONZALEZ</t>
  </si>
  <si>
    <t>22ECB0013G</t>
  </si>
  <si>
    <t>SAN JOAQUÍN</t>
  </si>
  <si>
    <t>CALLE FRANCISCO ZARCO</t>
  </si>
  <si>
    <t>REYES MARCOS HUGO IGNACIO</t>
  </si>
  <si>
    <t>4412935166</t>
  </si>
  <si>
    <t>22MMS0031L</t>
  </si>
  <si>
    <t>COBAQ PLANTEL NUM. 14 SAN JOAQUIN</t>
  </si>
  <si>
    <t>22ECB0014F</t>
  </si>
  <si>
    <t>LANDA DE MATAMOROS</t>
  </si>
  <si>
    <t>LA LAGUNITA</t>
  </si>
  <si>
    <t>LAS VALLAS</t>
  </si>
  <si>
    <t>CALLE CARRETERA LA LAGUNITA - TILACO KM 1.5</t>
  </si>
  <si>
    <t>VELEZ RAMIREZ ANA LAURA</t>
  </si>
  <si>
    <t>4412548041</t>
  </si>
  <si>
    <t>22MMS0032K</t>
  </si>
  <si>
    <t>COBAQ PLANTEL NUM. 25 LA LAGUNITA</t>
  </si>
  <si>
    <t>22ECB0015E</t>
  </si>
  <si>
    <t>BRAVO</t>
  </si>
  <si>
    <t>CALLE CAMINO A LA CEJA</t>
  </si>
  <si>
    <t>PIÑA DE JESUS HAYDEE</t>
  </si>
  <si>
    <t>4423100101</t>
  </si>
  <si>
    <t>22MMS0033J</t>
  </si>
  <si>
    <t>COBAQ PLANTEL NUM. 19 BRAVO</t>
  </si>
  <si>
    <t>22ECB0016D</t>
  </si>
  <si>
    <t>CHICHIMEQUILLAS</t>
  </si>
  <si>
    <t>CALLE ACCESO AL LIENZO CHARRO</t>
  </si>
  <si>
    <t>RUIZ ROJAS JESUS</t>
  </si>
  <si>
    <t>4422466194</t>
  </si>
  <si>
    <t>22MMS0034I</t>
  </si>
  <si>
    <t>COBAQ PLANTEL NUM. 15 CHICHIMEQUILLAS</t>
  </si>
  <si>
    <t>22ECB0019A</t>
  </si>
  <si>
    <t>GENERAL LÁZARO CÁRDENAS (EL COLORADO)</t>
  </si>
  <si>
    <t>CALLE CARRETERA MEXICO - QUERETARO KILOMETRO 194.5</t>
  </si>
  <si>
    <t>MEJIA GALLARDO VALERIA</t>
  </si>
  <si>
    <t>22MMS0035H</t>
  </si>
  <si>
    <t>COBAQ PLANTEL NUM. 16 EL COLORADO</t>
  </si>
  <si>
    <t>22ECB0020Q</t>
  </si>
  <si>
    <t>BOSQUES DE BELLAVISTA</t>
  </si>
  <si>
    <t>AVENIDA SOMBRERETE</t>
  </si>
  <si>
    <t>GOMEZ ESTRADA JUAN PABLO</t>
  </si>
  <si>
    <t>4422611390</t>
  </si>
  <si>
    <t>22MMS0036G</t>
  </si>
  <si>
    <t>COBAQ PLANTEL NUM. 17 "CONSTITUCION DE 1917"</t>
  </si>
  <si>
    <t>22ECB0022O</t>
  </si>
  <si>
    <t>VALLE DORADO 2 [FRACCIONAMIENTO]</t>
  </si>
  <si>
    <t>AVENIDA VALLE DORADO</t>
  </si>
  <si>
    <t>REVUELTAS UGALDE MARÍA ANTONIETA</t>
  </si>
  <si>
    <t>4428245366</t>
  </si>
  <si>
    <t>22MMS0037F</t>
  </si>
  <si>
    <t>COBAQ PLANTEL NUM. 18 VALLE DORADO</t>
  </si>
  <si>
    <t>22ECB0023N</t>
  </si>
  <si>
    <t>MEDIO</t>
  </si>
  <si>
    <t>SANTIAGO MEXQUITITLÁN BARRIO 4TO.</t>
  </si>
  <si>
    <t>CALLE CARRETERA AMEALCO - TEMASCALCINGO KILOMETRO 25</t>
  </si>
  <si>
    <t>PEREZ RIOS ADRIAN</t>
  </si>
  <si>
    <t>4482932209</t>
  </si>
  <si>
    <t>22MMS0038E</t>
  </si>
  <si>
    <t>COBAQ PLANTEL NUM. 20 SANTIAGO MEXQUITITLAN</t>
  </si>
  <si>
    <t>22ECB0024M</t>
  </si>
  <si>
    <t>ARCILA</t>
  </si>
  <si>
    <t>CALLE 16 DE SEPTIEMBRE</t>
  </si>
  <si>
    <t>ARRIAGA HERNANDEZ JUAN FRANCISCO</t>
  </si>
  <si>
    <t>4272649368</t>
  </si>
  <si>
    <t>22MMS0039D</t>
  </si>
  <si>
    <t>COBAQ PLANTEL NUM. 21 ARCILA</t>
  </si>
  <si>
    <t>22ECB0025L</t>
  </si>
  <si>
    <t>PINAL DE AMOLES</t>
  </si>
  <si>
    <t>AHUACATLÁN DE GUADALUPE</t>
  </si>
  <si>
    <t>CALLE MARIANO ESCOBEDO</t>
  </si>
  <si>
    <t>FLORES MRTINEZ EDGAR ANTONIO</t>
  </si>
  <si>
    <t>4412913068</t>
  </si>
  <si>
    <t>22MMS0040T</t>
  </si>
  <si>
    <t>COBAQ PLANTEL NUM. 23 AHUACATLAN DE GUADALUPE</t>
  </si>
  <si>
    <t>22ECB0026K</t>
  </si>
  <si>
    <t>SAN MIGUEL 2A ETAPA</t>
  </si>
  <si>
    <t>CALLE SAN RAFAEL</t>
  </si>
  <si>
    <t>MEDINA RAMIREZ DORA SUSANA</t>
  </si>
  <si>
    <t>4422986164</t>
  </si>
  <si>
    <t>22MMS0041S</t>
  </si>
  <si>
    <t>COBAQ PLANTEL NUM. 22 REAL DE SAN MIGUEL</t>
  </si>
  <si>
    <t>22ECB0027J</t>
  </si>
  <si>
    <t>VILLA PROGRESO</t>
  </si>
  <si>
    <t>CALLE EMILIANO ZAPATA</t>
  </si>
  <si>
    <t>NOLAZQUEZ MUÑOZ JOSÉ LUIS</t>
  </si>
  <si>
    <t>4411985076</t>
  </si>
  <si>
    <t>22MMS0042R</t>
  </si>
  <si>
    <t>COBAQ PLANTEL NUM. 24 VILLA PROGRESO</t>
  </si>
  <si>
    <t>22ECB0028I</t>
  </si>
  <si>
    <t>AGUA ZARCA</t>
  </si>
  <si>
    <t>NINGUNO CAMINO A PISA FLORES</t>
  </si>
  <si>
    <t>SILVA HERNANDEZ RUBICEL</t>
  </si>
  <si>
    <t>4412751764</t>
  </si>
  <si>
    <t>22MMS0043Q</t>
  </si>
  <si>
    <t>COBAQ PLANTEL NUM. 26 AGUA ZARCA</t>
  </si>
  <si>
    <t>22ECB0029H</t>
  </si>
  <si>
    <t>ARROYO SECO</t>
  </si>
  <si>
    <t>PURÍSIMA DE ARISTA</t>
  </si>
  <si>
    <t>CALLE MIGUEL HIDALGO</t>
  </si>
  <si>
    <t>HERBERT SUÁREZ MARBELLA</t>
  </si>
  <si>
    <t>4411040043</t>
  </si>
  <si>
    <t>22MMS0044P</t>
  </si>
  <si>
    <t>COBAQ PLANTEL NUM. 27 PURISIMA DE ARISTA</t>
  </si>
  <si>
    <t>22ECB0030X</t>
  </si>
  <si>
    <t>SAN ILDEFONSO TULTEPEC (CENTRO)</t>
  </si>
  <si>
    <t>NINGUNO CAMINO SAN IDELFONSO A KAJAY</t>
  </si>
  <si>
    <t>SANCHEZ MORENO MARTHA ELISA</t>
  </si>
  <si>
    <t>4481706087</t>
  </si>
  <si>
    <t>22MMS0045O</t>
  </si>
  <si>
    <t>COBAQ PLANTEL NUM 28 SAN ILDEFONSO</t>
  </si>
  <si>
    <t>22ECB0031W</t>
  </si>
  <si>
    <t>BERNAL</t>
  </si>
  <si>
    <t>CALLE CONOCIDO</t>
  </si>
  <si>
    <t>GARFIAS MONTES DE OCA YOLANDA</t>
  </si>
  <si>
    <t>4422919400</t>
  </si>
  <si>
    <t>2702</t>
  </si>
  <si>
    <t>22MMS0046N</t>
  </si>
  <si>
    <t>COBAQ PLANTEL NUM. 29 BERNAL</t>
  </si>
  <si>
    <t>22ECB0032V</t>
  </si>
  <si>
    <t>LA VALLA</t>
  </si>
  <si>
    <t>AVENIDA ALAMEDA</t>
  </si>
  <si>
    <t>PINTADO MORENO DAVID CARLOS</t>
  </si>
  <si>
    <t>2711</t>
  </si>
  <si>
    <t>22MMS0047M</t>
  </si>
  <si>
    <t>COBAQ PLANTEL NUM. 30 LA VALLA</t>
  </si>
  <si>
    <t>22ECB0033U</t>
  </si>
  <si>
    <t>LA GRIEGA</t>
  </si>
  <si>
    <t>DE SANTIAGO SILVA SALVADOR</t>
  </si>
  <si>
    <t>22MMS0048L</t>
  </si>
  <si>
    <t>COBAQ PLANTEL NUM. 31 LA GRIEGA</t>
  </si>
  <si>
    <t>22ECB0034T</t>
  </si>
  <si>
    <t>SAN ANTONIO DE LA CAL</t>
  </si>
  <si>
    <t>NINGUNO CARRETERA TOLIMÁN-QUERÉTARO</t>
  </si>
  <si>
    <t>SOTO MORALES MARIA DE LOURDES</t>
  </si>
  <si>
    <t>4422964039</t>
  </si>
  <si>
    <t>22MMS0049K</t>
  </si>
  <si>
    <t>COBAQ PLANTEL NUM. 32 SAN ANTONIO DE LA CAL</t>
  </si>
  <si>
    <t>22ECB0035S</t>
  </si>
  <si>
    <t>EL PALMAR (SANTA MARÍA DEL PALMAR)</t>
  </si>
  <si>
    <t>SILVESTRE MONTES MARTHA</t>
  </si>
  <si>
    <t>22MMS0050Z</t>
  </si>
  <si>
    <t>COBAQ PLANTEL NUM. 33 EL PALMAR</t>
  </si>
  <si>
    <t>22ECB0036R</t>
  </si>
  <si>
    <t>CALLE CARRETERA FEDERAL JALPAN - RIO VERDE KM 46</t>
  </si>
  <si>
    <t>MARIN PEDRAZA ELIANA</t>
  </si>
  <si>
    <t>4878742151</t>
  </si>
  <si>
    <t>22MMS0051Z</t>
  </si>
  <si>
    <t>COBAQ PLANTEL NUM. 34 ARROYO SECO</t>
  </si>
  <si>
    <t>22ECB0037Q</t>
  </si>
  <si>
    <t>VIZARRÓN DE MONTES</t>
  </si>
  <si>
    <t>CALLE CARRETERA SAN JUAN DEL RIO-XILITLA KM 76.5</t>
  </si>
  <si>
    <t>AGUILAR BALDERAS ANDRES</t>
  </si>
  <si>
    <t>4412773194</t>
  </si>
  <si>
    <t>22MMS0052Y</t>
  </si>
  <si>
    <t>COBAQ PLANTEL NUM. 35 VIZARRON</t>
  </si>
  <si>
    <t>22ECB0038P</t>
  </si>
  <si>
    <t>SAN FRANCISQUITO</t>
  </si>
  <si>
    <t>AVENIDA CONSTITUYENTES</t>
  </si>
  <si>
    <t>CABRERA DOMINGUEZ HECTOR JAVIER</t>
  </si>
  <si>
    <t>1313</t>
  </si>
  <si>
    <t>22MMS0261D</t>
  </si>
  <si>
    <t>COBAQ BACHILLERATO MIXTO</t>
  </si>
  <si>
    <t>22ECB0039O</t>
  </si>
  <si>
    <t>LAS TRANCAS</t>
  </si>
  <si>
    <t>CALLE CARRETERA JALPAN-RIO VERDE KILOMETRO 33</t>
  </si>
  <si>
    <t>SANCHEZ SUAREZ EVELING GISELA</t>
  </si>
  <si>
    <t>4878774160</t>
  </si>
  <si>
    <t>22MMS0053X</t>
  </si>
  <si>
    <t>EDUCACION MEDIA SUPERIOR A DISTANCIA NUM. 3 CONCA</t>
  </si>
  <si>
    <t>22EMS0004F</t>
  </si>
  <si>
    <t>COLÓN</t>
  </si>
  <si>
    <t>EL COYOTE</t>
  </si>
  <si>
    <t>NINGUNO CARRETERA COLÓN-EL FUENTEÑO</t>
  </si>
  <si>
    <t>PAZARÁN NAVARIJO MAGDALENA YUNUEN</t>
  </si>
  <si>
    <t>2715</t>
  </si>
  <si>
    <t>22MMS0054W</t>
  </si>
  <si>
    <t>EDUCACION MEDIA SUPERIOR A DISTANCIA NUM. 6 EL COYOTE</t>
  </si>
  <si>
    <t>22EMS0006D</t>
  </si>
  <si>
    <t>HIGUERILLAS</t>
  </si>
  <si>
    <t>ZIMBRON SANCHEZ MA EUGENIA</t>
  </si>
  <si>
    <t>4412546004</t>
  </si>
  <si>
    <t>22MMS0055V</t>
  </si>
  <si>
    <t>EDUCACION MEDIA SUPERIOR A DISTANCIA NUM. 7 HIGUERILLAS</t>
  </si>
  <si>
    <t>22EMS0007C</t>
  </si>
  <si>
    <t>SANTA ÁGUEDA</t>
  </si>
  <si>
    <t>NINGUNO CAMINO AL CANTÓN</t>
  </si>
  <si>
    <t>DIAZ LUGO JAVIER</t>
  </si>
  <si>
    <t>22MMS0056U</t>
  </si>
  <si>
    <t>EDUCACION MEDIA SUPERIOR A DISTANCIA NUM. 8 SANTA AGUEDA</t>
  </si>
  <si>
    <t>22EMS0008B</t>
  </si>
  <si>
    <t>PEÑA COLORADA</t>
  </si>
  <si>
    <t>GUERRERO SUAREZ JUAN CARLOS</t>
  </si>
  <si>
    <t>22MMS0058S</t>
  </si>
  <si>
    <t>EDUCACION MEDIA SUPERIOR A DISTANCIA NUM. 11 PEÑA COLORADA</t>
  </si>
  <si>
    <t>22EMS0011P</t>
  </si>
  <si>
    <t>PEÑAMILLER</t>
  </si>
  <si>
    <t>CAMARGO</t>
  </si>
  <si>
    <t>CALLE CARRETERA RIO BLANCO</t>
  </si>
  <si>
    <t>HERNANDEZ RUIZ JUDITH</t>
  </si>
  <si>
    <t>22MMS0059R</t>
  </si>
  <si>
    <t>EDUCACION MEDIA SUPERIOR A DISTANCIA NUM. 12 CAMARGO</t>
  </si>
  <si>
    <t>22EMS0012O</t>
  </si>
  <si>
    <t>SAN PEDRO ESCANELA</t>
  </si>
  <si>
    <t>CONTERAS SOLORZANO JORGE</t>
  </si>
  <si>
    <t>22MMS0060G</t>
  </si>
  <si>
    <t>EDUCACION MEDIA SUPERIOR A DISTANCIA NUM. 13 SAN PEDRO ESCANELA</t>
  </si>
  <si>
    <t>22EMS0013N</t>
  </si>
  <si>
    <t>TRES LAGUNAS</t>
  </si>
  <si>
    <t>CARRANZA SILVA MARIVEL</t>
  </si>
  <si>
    <t>4411988060</t>
  </si>
  <si>
    <t>22MMS0061F</t>
  </si>
  <si>
    <t>EDUCACION MEDIA SUPERIOR A DISTANCIA NUM. 14 TRES LAGUNAS</t>
  </si>
  <si>
    <t>22EMS0014M</t>
  </si>
  <si>
    <t>TILACO</t>
  </si>
  <si>
    <t>NINGUNO CARRETERA ESTATAL LAGUNITA-TILACO</t>
  </si>
  <si>
    <t>RAMIREZ DE SANTIAGO MA CATALINA</t>
  </si>
  <si>
    <t>4415961770</t>
  </si>
  <si>
    <t>22MMS0062E</t>
  </si>
  <si>
    <t>EDUCACION MEDIA SUPERIOR A DISTANCIA NUM. 18 TILACO</t>
  </si>
  <si>
    <t>22EMS0018I</t>
  </si>
  <si>
    <t>SAN MIGUEL PALMAS (MISIÓN DE PALMAS)</t>
  </si>
  <si>
    <t>CALLE DEL ESTUDIANTE</t>
  </si>
  <si>
    <t>SANTIAGO LUNA RICARDO EDGAR</t>
  </si>
  <si>
    <t>22MMS0063D</t>
  </si>
  <si>
    <t>EDUCACION MEDIA SUPERIOR A DISTANCIA NUM. 19 SAN MIGUEL PALMAS</t>
  </si>
  <si>
    <t>22EMS0019H</t>
  </si>
  <si>
    <t>SAN MIGUEL</t>
  </si>
  <si>
    <t>CALLE CAYETANO RUBIO</t>
  </si>
  <si>
    <t>ORDUÑA GUTIERREZ RUTH MAGALY</t>
  </si>
  <si>
    <t>4411986146</t>
  </si>
  <si>
    <t>22MMS0064C</t>
  </si>
  <si>
    <t>EMSAD NUM. 20 LANDA DE MATAMOROS</t>
  </si>
  <si>
    <t>22EMS0020X</t>
  </si>
  <si>
    <t>PEÑA BLANCA</t>
  </si>
  <si>
    <t>CALLE CAMINO A ENRAMADAS</t>
  </si>
  <si>
    <t>HERNANDEZ DE LEON GERARDO</t>
  </si>
  <si>
    <t>4412750090</t>
  </si>
  <si>
    <t>22MMS0065B</t>
  </si>
  <si>
    <t>EMSAD NUM. 22 PEÑA BLANCA</t>
  </si>
  <si>
    <t>22EMS0022V</t>
  </si>
  <si>
    <t>SOMBRERETE</t>
  </si>
  <si>
    <t>ARREGUÍN SALDIVAR DULCE MARÍA</t>
  </si>
  <si>
    <t>4411004992</t>
  </si>
  <si>
    <t>22MMS0066A</t>
  </si>
  <si>
    <t>EMSAD NUM. 23 SOMBRERETE</t>
  </si>
  <si>
    <t>22EMS0023U</t>
  </si>
  <si>
    <t>CASA BLANCA</t>
  </si>
  <si>
    <t>4412654197</t>
  </si>
  <si>
    <t>22MMS0067Z</t>
  </si>
  <si>
    <t>EMSAD NUM. 24 CASA BLANCA</t>
  </si>
  <si>
    <t>22EMS0024T</t>
  </si>
  <si>
    <t>EL RINCÓN</t>
  </si>
  <si>
    <t>NIEVES DORANTES ISRAEL</t>
  </si>
  <si>
    <t>22MMS0068Z</t>
  </si>
  <si>
    <t>EMSAD NUM. 25 EL RINCON</t>
  </si>
  <si>
    <t>22EMS0028P</t>
  </si>
  <si>
    <t>TANCOYOL</t>
  </si>
  <si>
    <t>CALLE JOSE ESCANDON</t>
  </si>
  <si>
    <t>COLUNGA MORADO MARÍA MARICELA</t>
  </si>
  <si>
    <t>22MMS0069Y</t>
  </si>
  <si>
    <t>EMSAD NUM. 26 TANCOYOL</t>
  </si>
  <si>
    <t>22EMS0029O</t>
  </si>
  <si>
    <t>AGUA FRÍA</t>
  </si>
  <si>
    <t>MUÑOZ SALAS JULIAN</t>
  </si>
  <si>
    <t>4425387346</t>
  </si>
  <si>
    <t>22MMS0070N</t>
  </si>
  <si>
    <t>EMSAD NUM. 27 AGUA FRIA</t>
  </si>
  <si>
    <t>22EMS0030D</t>
  </si>
  <si>
    <t>BELLA VISTA DEL RÍO</t>
  </si>
  <si>
    <t>RANCHO NUEVO</t>
  </si>
  <si>
    <t>CALLE CONÍN</t>
  </si>
  <si>
    <t>CAMPOS CRUZ ABRAHAM</t>
  </si>
  <si>
    <t>22MMS0071M</t>
  </si>
  <si>
    <t>EMSAD NUM. 28 BELLAVISTA DEL RIO</t>
  </si>
  <si>
    <t>22EMS0031C</t>
  </si>
  <si>
    <t>SAN MIGUEL TLAXCALTEPEC (BARRIO CENTRO)</t>
  </si>
  <si>
    <t>CALLE CAYETANO GONZÁLEZ</t>
  </si>
  <si>
    <t>BECERRA MARTINEZ EFRAIN</t>
  </si>
  <si>
    <t>22MMS0072L</t>
  </si>
  <si>
    <t>EMSAD NUM. 30 SAN MIGUEL TLAXCALTEPEC</t>
  </si>
  <si>
    <t>22EMS0033A</t>
  </si>
  <si>
    <t>VALLE VERDE</t>
  </si>
  <si>
    <t>OLVERA SANCHEZ HILDA</t>
  </si>
  <si>
    <t>22MMS0073K</t>
  </si>
  <si>
    <t>EDUCACION MEDIA SUPERIOR A DISTANCIA NUM. 31 VALLE VERDE</t>
  </si>
  <si>
    <t>22EMS0034Z</t>
  </si>
  <si>
    <t>SANTA MARÍA ÁLAMOS</t>
  </si>
  <si>
    <t>NINGUNO CAMINO RURAL</t>
  </si>
  <si>
    <t>CORONA ZARAZÚA SALVADOR</t>
  </si>
  <si>
    <t>22MMS0074J</t>
  </si>
  <si>
    <t>EDUCACION MEDIA SUPERIOR A DISTANCIA NUM. 32 SANTA MARIA ALAMOS</t>
  </si>
  <si>
    <t>22EMS0035Z</t>
  </si>
  <si>
    <t>PEDRO ESCOBEDO</t>
  </si>
  <si>
    <t>ESCOLÁSTICAS</t>
  </si>
  <si>
    <t>COLIN NAVA MARA</t>
  </si>
  <si>
    <t>22MMS0075I</t>
  </si>
  <si>
    <t>EDUCACION MEDIA SUPERIOR A DISTANCIA NUM. 34 ESCOLASTICAS</t>
  </si>
  <si>
    <t>22EMS0036Y</t>
  </si>
  <si>
    <t>HUIMILPAN</t>
  </si>
  <si>
    <t>BUENAVISTA</t>
  </si>
  <si>
    <t>FLORES HERNANDEZ AUDENCIO</t>
  </si>
  <si>
    <t>22MMS0076H</t>
  </si>
  <si>
    <t>EDUCACION MEDIA SUPERIOR A DISTANCIA NUM. 33 BUENAVISTA</t>
  </si>
  <si>
    <t>22EMS0037X</t>
  </si>
  <si>
    <t>NEBLINAS</t>
  </si>
  <si>
    <t>CHAVERO GUERRERO BEATRIZ</t>
  </si>
  <si>
    <t>22MMS0089L</t>
  </si>
  <si>
    <t>TELEBACHILLERATO COMUNITARIO NEBLINAS</t>
  </si>
  <si>
    <t>22ETK0001Z</t>
  </si>
  <si>
    <t>ALTO</t>
  </si>
  <si>
    <t>MESA DE RAMÍREZ</t>
  </si>
  <si>
    <t>HERNANDEZ MORALES JUAN MANUEL</t>
  </si>
  <si>
    <t>22MMS0090A</t>
  </si>
  <si>
    <t>TELEBACHILLERATO COMUNITARIO MESA DE RAMIREZ</t>
  </si>
  <si>
    <t>22ETK0002Z</t>
  </si>
  <si>
    <t>LAGUNA DE VAQUERÍAS</t>
  </si>
  <si>
    <t>GUDIÑO PIÑA ISAURA</t>
  </si>
  <si>
    <t>4271185316</t>
  </si>
  <si>
    <t>22MMS0091Z</t>
  </si>
  <si>
    <t>TELEBACHILLERATO COMUNITARIO LAGUNA DE VAQUERIAS</t>
  </si>
  <si>
    <t>22ETK0003Y</t>
  </si>
  <si>
    <t>LA PLAZUELA</t>
  </si>
  <si>
    <t>HERNANDEZ MORALES MARCO ANTONIO</t>
  </si>
  <si>
    <t>4411190054</t>
  </si>
  <si>
    <t>22MMS0092Z</t>
  </si>
  <si>
    <t>TELEBACHILLERATO COMUNITARIO LA PLAZUELA</t>
  </si>
  <si>
    <t>22ETK0004X</t>
  </si>
  <si>
    <t>LA VERSOLILLA</t>
  </si>
  <si>
    <t>ZARATE MONTES GRECIA ESTEFANIA</t>
  </si>
  <si>
    <t>4424857961</t>
  </si>
  <si>
    <t>22MMS0093Y</t>
  </si>
  <si>
    <t>TELEBACHILLERATO COMUNITARIO LA VERSOLILLA</t>
  </si>
  <si>
    <t>22ETK0005W</t>
  </si>
  <si>
    <t>EL AGUACATE</t>
  </si>
  <si>
    <t>SANCHEZ SALDIVAR MARGARITA</t>
  </si>
  <si>
    <t>4142807301</t>
  </si>
  <si>
    <t>22MMS0094X</t>
  </si>
  <si>
    <t>TELEBACHILLERATO COMUNITARIO EL AGUACATE</t>
  </si>
  <si>
    <t>22ETK0006V</t>
  </si>
  <si>
    <t>LA CARBONERA</t>
  </si>
  <si>
    <t>YEBRA VEGA GIOVANA VIANEY</t>
  </si>
  <si>
    <t>4423611086</t>
  </si>
  <si>
    <t>22MMS0095W</t>
  </si>
  <si>
    <t>TELEBACHILLERATO COMUNITARIO LA CARBONERA</t>
  </si>
  <si>
    <t>22ETK0007U</t>
  </si>
  <si>
    <t>LA PUERTA</t>
  </si>
  <si>
    <t>GONZÃLEZ BENITEZ NADIA GUADALUPE</t>
  </si>
  <si>
    <t>4424475820</t>
  </si>
  <si>
    <t>22MMS0096V</t>
  </si>
  <si>
    <t>TELEBACHILLERATO COMUNITARIO PUERTO DE LA LUZ</t>
  </si>
  <si>
    <t>22ETK0008T</t>
  </si>
  <si>
    <t>PATHÉ</t>
  </si>
  <si>
    <t>HERNANDEZ SOLANO ANDRES</t>
  </si>
  <si>
    <t>22MMS0097U</t>
  </si>
  <si>
    <t>TELEBACHILLERATO COMUNITARIO PATHE</t>
  </si>
  <si>
    <t>22ETK0009S</t>
  </si>
  <si>
    <t>LA SOLANA</t>
  </si>
  <si>
    <t>ARMENTA RAMÍREZ EVELIN</t>
  </si>
  <si>
    <t>4425669926</t>
  </si>
  <si>
    <t>22MMS0098T</t>
  </si>
  <si>
    <t>TELEBACHILLERATO COMUNITARIO LA SOLANA</t>
  </si>
  <si>
    <t>22ETK0010H</t>
  </si>
  <si>
    <t>LA MONJA</t>
  </si>
  <si>
    <t>DÍAZ ROJAS AMANDA BELEN</t>
  </si>
  <si>
    <t>22MMS0099S</t>
  </si>
  <si>
    <t>TELEBACHILLERATO COMUNITARIO LA MONJA</t>
  </si>
  <si>
    <t>22ETK0011G</t>
  </si>
  <si>
    <t>LA FUENTE</t>
  </si>
  <si>
    <t>CALLE IGNACIO RAYON</t>
  </si>
  <si>
    <t>CRUZ GONZÁLEZ VIVIANA</t>
  </si>
  <si>
    <t>4142262931</t>
  </si>
  <si>
    <t>22MMS0100R</t>
  </si>
  <si>
    <t>TELEBACHILLERATO COMUNITARIO LA FUENTE</t>
  </si>
  <si>
    <t>22ETK0012F</t>
  </si>
  <si>
    <t>BENITEZ GARCIA ITZEL</t>
  </si>
  <si>
    <t>4871129228</t>
  </si>
  <si>
    <t>22MMS0101Q</t>
  </si>
  <si>
    <t>TELEBACHILLERATO COMUNITARIO AGUA FRIA</t>
  </si>
  <si>
    <t>22ETK0013E</t>
  </si>
  <si>
    <t>YERBABUENA</t>
  </si>
  <si>
    <t>MONROY MUNOZ JOSE GUILLERMO</t>
  </si>
  <si>
    <t>22MMS0102P</t>
  </si>
  <si>
    <t>TELEBACHILLERATO COMUNITARIO YERBABUENA</t>
  </si>
  <si>
    <t>22ETK0014D</t>
  </si>
  <si>
    <t>SANTA INÉS</t>
  </si>
  <si>
    <t>HERNANDEZ SANCHEZ MAYRA</t>
  </si>
  <si>
    <t>22MMS0103O</t>
  </si>
  <si>
    <t>TELEBACHILLERATO COMUNITARIO SANTA INES</t>
  </si>
  <si>
    <t>22ETK0015C</t>
  </si>
  <si>
    <t>EL LOBO</t>
  </si>
  <si>
    <t>JULIAN MACARIO GERMAN</t>
  </si>
  <si>
    <t>4831225230</t>
  </si>
  <si>
    <t>22MMS0104N</t>
  </si>
  <si>
    <t>TELEBACHILLERATO COMUNITARIO EL LOBO</t>
  </si>
  <si>
    <t>22ETK0016B</t>
  </si>
  <si>
    <t>PANIAGUA</t>
  </si>
  <si>
    <t>GALLEGOS PEREZ NESTOR</t>
  </si>
  <si>
    <t>4427046707</t>
  </si>
  <si>
    <t>22MMS0105M</t>
  </si>
  <si>
    <t>TELEBACHILLERATO COMUNITARIO PANIAGUA</t>
  </si>
  <si>
    <t>22ETK0017A</t>
  </si>
  <si>
    <t>SAN IGNACIO</t>
  </si>
  <si>
    <t>HERNANDEZ SANTOS JORGE SEMIEL</t>
  </si>
  <si>
    <t>4427501595</t>
  </si>
  <si>
    <t>22MMS0106L</t>
  </si>
  <si>
    <t>TELEBACHILLERATO COMUNITARIO SAN IGNACIO</t>
  </si>
  <si>
    <t>22ETK0018Z</t>
  </si>
  <si>
    <t>DE SANTIAGO RAMÍREZ ROSA</t>
  </si>
  <si>
    <t>4411169001</t>
  </si>
  <si>
    <t>22MMS0107K</t>
  </si>
  <si>
    <t>TELEBACHILLERATO COMUNITARIO RANCHO NUEVO</t>
  </si>
  <si>
    <t>22ETK0019Z</t>
  </si>
  <si>
    <t>EL PLÁTANO</t>
  </si>
  <si>
    <t>GOMEZ DE LA CAÑA RICARDO</t>
  </si>
  <si>
    <t>22MMS0108J</t>
  </si>
  <si>
    <t>TELEBACHILLERATO COMUNITARIO EL PLATANO</t>
  </si>
  <si>
    <t>22ETK0020O</t>
  </si>
  <si>
    <t>SAUZ DE GUADALUPE</t>
  </si>
  <si>
    <t>RUBIO ANGELES ANA CRISTINA</t>
  </si>
  <si>
    <t>22MMS0109I</t>
  </si>
  <si>
    <t>TELEBACHILLERATO COMUNITARIO SAUZ DE GUADALUPE</t>
  </si>
  <si>
    <t>22ETK0021N</t>
  </si>
  <si>
    <t>SAN PEDRO VIEJO</t>
  </si>
  <si>
    <t>SANCHEZ GONZALEZ YESENIA</t>
  </si>
  <si>
    <t>4411052695</t>
  </si>
  <si>
    <t>22MMS0110Y</t>
  </si>
  <si>
    <t>TELEBACHILLERATO COMUNITARIO SAN PEDRO VIEJO</t>
  </si>
  <si>
    <t>22ETK0022M</t>
  </si>
  <si>
    <t>MACONÍ</t>
  </si>
  <si>
    <t>VEGA SOTO CRISTINA</t>
  </si>
  <si>
    <t>4271091839</t>
  </si>
  <si>
    <t>22MMS0111X</t>
  </si>
  <si>
    <t>TELEBACHILLERATO COMUNITARIO MACONI</t>
  </si>
  <si>
    <t>22ETK0023L</t>
  </si>
  <si>
    <t>LOS JUÁREZ</t>
  </si>
  <si>
    <t>FLORES GONZALEZ MARÍA GABRIELA</t>
  </si>
  <si>
    <t>22MMS0112W</t>
  </si>
  <si>
    <t>TELEBACHILLERATO COMUNITARIO LOS JUAREZ</t>
  </si>
  <si>
    <t>22ETK0024K</t>
  </si>
  <si>
    <t>SANTA MARÍA DE LOS COCOS</t>
  </si>
  <si>
    <t>RAMÍREZ MUÑOZ JOSÉ JUAN</t>
  </si>
  <si>
    <t>4411148238</t>
  </si>
  <si>
    <t>22MMS0113V</t>
  </si>
  <si>
    <t>TELEBACHILLERATO COMUNITARIO SANTA MARIA DE LOS COCOS</t>
  </si>
  <si>
    <t>22ETK0025J</t>
  </si>
  <si>
    <t>LA FLORIDA</t>
  </si>
  <si>
    <t>GIL VALENCIA MA. DE JESUS</t>
  </si>
  <si>
    <t>22MMS0114U</t>
  </si>
  <si>
    <t>TELEBACHILLERATO COMUNITARIO LA FLORIDA</t>
  </si>
  <si>
    <t>22ETK0026I</t>
  </si>
  <si>
    <t>QUIOTILLOS</t>
  </si>
  <si>
    <t>RODRIGUEZ OCAMPO ENRIQUE</t>
  </si>
  <si>
    <t>4272789533</t>
  </si>
  <si>
    <t>22MMS0115T</t>
  </si>
  <si>
    <t>TELEBACHILLERATO COMUNITARIO QUIOTILLOS</t>
  </si>
  <si>
    <t>22ETK0027H</t>
  </si>
  <si>
    <t>LAGUNA DE SERVÍN</t>
  </si>
  <si>
    <t>ZEPEDA MARTINEZ OSCAR HUMBERTO</t>
  </si>
  <si>
    <t>22MMS0116S</t>
  </si>
  <si>
    <t>TELEBACHILLERATO COMUNITARIO LAGUNA DE SERVIN</t>
  </si>
  <si>
    <t>22ETK0028G</t>
  </si>
  <si>
    <t>SANTA LUCÍA</t>
  </si>
  <si>
    <t>ARROYO AGUILAR NORA ISELA</t>
  </si>
  <si>
    <t>22MMS0117R</t>
  </si>
  <si>
    <t>TELEBACHILLERATO COMUNITARIO SANTA LUCIA</t>
  </si>
  <si>
    <t>22ETK0029F</t>
  </si>
  <si>
    <t>PRIVADO</t>
  </si>
  <si>
    <t>ASOCIACIÓN CIVIL</t>
  </si>
  <si>
    <t>HERCULES</t>
  </si>
  <si>
    <t>AVENIDA HERCULES</t>
  </si>
  <si>
    <t>MALAGON MOYA BLANCA AZUCENA SHOENSTAHNT</t>
  </si>
  <si>
    <t>4422230874</t>
  </si>
  <si>
    <t>22MMS0119P</t>
  </si>
  <si>
    <t>INSTITUTO CHAMPAGNAT</t>
  </si>
  <si>
    <t>22PBH0002B</t>
  </si>
  <si>
    <t>CALLE OCAMPO</t>
  </si>
  <si>
    <t>DEL REAL LOPEZ VICTOR JESUS</t>
  </si>
  <si>
    <t>4422121164</t>
  </si>
  <si>
    <t>22MMS0121D</t>
  </si>
  <si>
    <t>INSTITUTO MARCIANO TINAJERO Y ESTRADA</t>
  </si>
  <si>
    <t>22PBH0005Z</t>
  </si>
  <si>
    <t>CIMATARIO</t>
  </si>
  <si>
    <t>CALLE FLORENCIO ROSAS</t>
  </si>
  <si>
    <t>GONZÁLEZ BLANQUET DINORA ESMERALDA</t>
  </si>
  <si>
    <t>4423407737</t>
  </si>
  <si>
    <t>117</t>
  </si>
  <si>
    <t>22MMS0122C</t>
  </si>
  <si>
    <t>ESCUELA PREPARATORIA DEL INSTITUTO PLANCARTE</t>
  </si>
  <si>
    <t>22PBH0006Y</t>
  </si>
  <si>
    <t>SAN JAVIER</t>
  </si>
  <si>
    <t>CALLE MARIANO ARISTA</t>
  </si>
  <si>
    <t>GARCIA GONZALEZ HECTOR ABEL</t>
  </si>
  <si>
    <t>4422230606</t>
  </si>
  <si>
    <t>110</t>
  </si>
  <si>
    <t>22MMS0123B</t>
  </si>
  <si>
    <t>INSTITUTO QUERETANO</t>
  </si>
  <si>
    <t>22PBH0007X</t>
  </si>
  <si>
    <t>NIÑOS HEROES</t>
  </si>
  <si>
    <t>CALLE PINO SUAREZ</t>
  </si>
  <si>
    <t>CHÁVEZ MORENO CLAUDIA GUADALUPE</t>
  </si>
  <si>
    <t>4421150246</t>
  </si>
  <si>
    <t>251</t>
  </si>
  <si>
    <t>22MMS0125Z</t>
  </si>
  <si>
    <t>COLEGIO FRAY LUIS DE LEON</t>
  </si>
  <si>
    <t>22PBH0010K</t>
  </si>
  <si>
    <t>SOTO ARREDONDO ROBERTO ALEJANDRO</t>
  </si>
  <si>
    <t>4427866040</t>
  </si>
  <si>
    <t>22MMS0126Z</t>
  </si>
  <si>
    <t>ALMA MURIEL</t>
  </si>
  <si>
    <t>22PBH0011J</t>
  </si>
  <si>
    <t>ESPAÑA</t>
  </si>
  <si>
    <t>CALLE IGNACIO RAMIREZ</t>
  </si>
  <si>
    <t>PEÑA PANIAGUA CARLOS</t>
  </si>
  <si>
    <t>4422170114</t>
  </si>
  <si>
    <t>22MMS0127Y</t>
  </si>
  <si>
    <t>COLEGIO LAFAYETTE DE QUERETARO, A. C.</t>
  </si>
  <si>
    <t>22PBH0013H</t>
  </si>
  <si>
    <t>CALLE PROSPERO C. VEGA</t>
  </si>
  <si>
    <t>RUIZ SANCHEZ HILDA</t>
  </si>
  <si>
    <t>4422120675</t>
  </si>
  <si>
    <t>22MMS0128X</t>
  </si>
  <si>
    <t>CINCO DE MAYO</t>
  </si>
  <si>
    <t>22PBH0014G</t>
  </si>
  <si>
    <t>ARBOLEDAS</t>
  </si>
  <si>
    <t>CALLE PASEO DE LA CONSTITUCION</t>
  </si>
  <si>
    <t>KARAM GARCIA ANA MARIA</t>
  </si>
  <si>
    <t>4422129098</t>
  </si>
  <si>
    <t>116</t>
  </si>
  <si>
    <t>22MMS0129W</t>
  </si>
  <si>
    <t>COLEGIO MARCELINA</t>
  </si>
  <si>
    <t>22PBH0016E</t>
  </si>
  <si>
    <t>SOCIEDAD CIVIL</t>
  </si>
  <si>
    <t>EL PUEBLITO</t>
  </si>
  <si>
    <t>CALLE PASEO DEL GRAN CUE</t>
  </si>
  <si>
    <t>PRECIADO CERVANTES CARMEN MARIA</t>
  </si>
  <si>
    <t>4424834000</t>
  </si>
  <si>
    <t>150</t>
  </si>
  <si>
    <t>22MMS0130L</t>
  </si>
  <si>
    <t>INSTITUTO ORIENTE QUERETARO</t>
  </si>
  <si>
    <t>22PBH0017D</t>
  </si>
  <si>
    <t>CALLE MARIANO JIMENEZ</t>
  </si>
  <si>
    <t>CONTRERAS PAREDES MA. JUANA</t>
  </si>
  <si>
    <t>4272724135</t>
  </si>
  <si>
    <t>22MMS0131K</t>
  </si>
  <si>
    <t>22PBH0020R</t>
  </si>
  <si>
    <t>FATIMA</t>
  </si>
  <si>
    <t>PROLONGACIÓN ARTICULO 123</t>
  </si>
  <si>
    <t>SANCHEZ YAÑEZ DULCE MARIA</t>
  </si>
  <si>
    <t>4272725272</t>
  </si>
  <si>
    <t>22MMS0132J</t>
  </si>
  <si>
    <t>COLEGIO MOTOLINIA DE SISTEMA EDUCATIVO VALLADOLID</t>
  </si>
  <si>
    <t>22PBH0021Q</t>
  </si>
  <si>
    <t>CARRETAS</t>
  </si>
  <si>
    <t>BOULEVARD BERNARDO QUINTANA</t>
  </si>
  <si>
    <t>RUÍZ ZAVALA JOSÉ DOLORES</t>
  </si>
  <si>
    <t>4422483216</t>
  </si>
  <si>
    <t>119</t>
  </si>
  <si>
    <t>22MMS0133I</t>
  </si>
  <si>
    <t>INSTITUTO TECNOLOGICO ANGLO MEXICANO</t>
  </si>
  <si>
    <t>22PBH0022P</t>
  </si>
  <si>
    <t>SAN PABLO</t>
  </si>
  <si>
    <t>CALLE EPIGMENIO GONZALEZ</t>
  </si>
  <si>
    <t>PÉREZ ÁVILA GABRIELA</t>
  </si>
  <si>
    <t>4422383100</t>
  </si>
  <si>
    <t>3200</t>
  </si>
  <si>
    <t>22MMS0134H</t>
  </si>
  <si>
    <t>ITESM CAMPUS QUERETARO</t>
  </si>
  <si>
    <t>22PBH0025M</t>
  </si>
  <si>
    <t>LOS CEDROS</t>
  </si>
  <si>
    <t>CALLE PRIMAVERA</t>
  </si>
  <si>
    <t>REYES OLVERA MIGUEL</t>
  </si>
  <si>
    <t>4429010595</t>
  </si>
  <si>
    <t>107</t>
  </si>
  <si>
    <t>22MMS0135G</t>
  </si>
  <si>
    <t>LIC. JOSE GUADALUPE RAMIREZ ALVAREZ</t>
  </si>
  <si>
    <t>22PBH0026L</t>
  </si>
  <si>
    <t>BANTHI</t>
  </si>
  <si>
    <t>AVENIDA UNIVERSIDAD</t>
  </si>
  <si>
    <t>MINA FRENÃNDEZ LAURA ELENA</t>
  </si>
  <si>
    <t>4271290259</t>
  </si>
  <si>
    <t>22MMS0136F</t>
  </si>
  <si>
    <t>COLEGIO CONSTANTINO</t>
  </si>
  <si>
    <t>22PBH0027K</t>
  </si>
  <si>
    <t>LAS ARBOLEDAS</t>
  </si>
  <si>
    <t>CALLE PASEO DE LOS CEDROS</t>
  </si>
  <si>
    <t>MONROY LOPEZ EDUARDO</t>
  </si>
  <si>
    <t>4422160830</t>
  </si>
  <si>
    <t>22MMS0137E</t>
  </si>
  <si>
    <t>COLEGIO MONTPELLIER</t>
  </si>
  <si>
    <t>22PBH0028J</t>
  </si>
  <si>
    <t>OBSERVATORIO</t>
  </si>
  <si>
    <t>RAMIREZ MORENO IVAN SALVADOR</t>
  </si>
  <si>
    <t>4422136452</t>
  </si>
  <si>
    <t>22MMS0138D</t>
  </si>
  <si>
    <t>PREPARATORIA ITECA</t>
  </si>
  <si>
    <t>22PBH0029I</t>
  </si>
  <si>
    <t>CALLE CAPILLA</t>
  </si>
  <si>
    <t>REYES TAPIA JUANA</t>
  </si>
  <si>
    <t>4422255878</t>
  </si>
  <si>
    <t>22MMS0139C</t>
  </si>
  <si>
    <t>LA PROVIDENCIA</t>
  </si>
  <si>
    <t>22PBH0030Y</t>
  </si>
  <si>
    <t>CALLE MARTE</t>
  </si>
  <si>
    <t>MÉNDEZ LÓPEZ ROBERTO</t>
  </si>
  <si>
    <t>4425439600</t>
  </si>
  <si>
    <t>22MMS0140S</t>
  </si>
  <si>
    <t>PREPARATORIAS UNIVERSIDAD MARISTA DE QUERÉTARO</t>
  </si>
  <si>
    <t>22PBH0031X</t>
  </si>
  <si>
    <t>UNIVERSIDAD MARISTA DE QUERETARO, A. C.</t>
  </si>
  <si>
    <t>PRIVADA RAFAEL OSUNA</t>
  </si>
  <si>
    <t>RUIZ VELAZQUEZ OCTAVIO</t>
  </si>
  <si>
    <t>4422129950</t>
  </si>
  <si>
    <t>22MMS0141R</t>
  </si>
  <si>
    <t>ESCUELA PREPARATORIA LEONARDO DE VINCI</t>
  </si>
  <si>
    <t>22PBH0032W</t>
  </si>
  <si>
    <t>CALLE DEL SOL</t>
  </si>
  <si>
    <t>ARANA MACHUCA GERARDO</t>
  </si>
  <si>
    <t>4426415060</t>
  </si>
  <si>
    <t>231</t>
  </si>
  <si>
    <t>22MMS0142Q</t>
  </si>
  <si>
    <t>COLEGIO ALAMOS</t>
  </si>
  <si>
    <t>22PBH0033V</t>
  </si>
  <si>
    <t>SAN FRANCISCO</t>
  </si>
  <si>
    <t>VISTA REAL</t>
  </si>
  <si>
    <t>CALLE CAMINO AL FRACC. VISTA REAL</t>
  </si>
  <si>
    <t>DUHNE AYALA ERIKA MARÍA</t>
  </si>
  <si>
    <t>4422283088</t>
  </si>
  <si>
    <t>22MMS0143P</t>
  </si>
  <si>
    <t>COLEGIO FONTANAR</t>
  </si>
  <si>
    <t>22PBH0034U</t>
  </si>
  <si>
    <t>MODELO</t>
  </si>
  <si>
    <t>PRIVADA DE PLAN DE AYALA</t>
  </si>
  <si>
    <t>CHAVEZ PICHARDO GUSTAVO</t>
  </si>
  <si>
    <t>4422420439</t>
  </si>
  <si>
    <t>22MMS0144O</t>
  </si>
  <si>
    <t>CENTRO DE ESTUDIOS UNIVERSITARIOS EN QUERETARO</t>
  </si>
  <si>
    <t>22PBH0035T</t>
  </si>
  <si>
    <t>COVARRUBIAS GONZALEZ JUDITH</t>
  </si>
  <si>
    <t>4422152841</t>
  </si>
  <si>
    <t>22MMS0147L</t>
  </si>
  <si>
    <t>CENTRO UNIVERSITARIO SALVADOR VAZQUEZ ALTAMIRANO, A.C.</t>
  </si>
  <si>
    <t>22PBH0038Q</t>
  </si>
  <si>
    <t>EL PEDREGAL</t>
  </si>
  <si>
    <t>CALLE POTRERO DE FRIJOLILLO</t>
  </si>
  <si>
    <t>ELECHIGUERRA PARRA RICARDO</t>
  </si>
  <si>
    <t>4142733716</t>
  </si>
  <si>
    <t>22MMS0148K</t>
  </si>
  <si>
    <t>INSTITUTO SOVANY</t>
  </si>
  <si>
    <t>22PBH0040E</t>
  </si>
  <si>
    <t>VALLE DE ORO</t>
  </si>
  <si>
    <t>AVENIDA 3 PONIENTE</t>
  </si>
  <si>
    <t>HERNÁNDEZ VARGAS LIC. MARÍA</t>
  </si>
  <si>
    <t>4272729808</t>
  </si>
  <si>
    <t>22MMS0149J</t>
  </si>
  <si>
    <t>INSTITUTO PLANCARTE SAN JUAN DEL RIO</t>
  </si>
  <si>
    <t>22PBH0041D</t>
  </si>
  <si>
    <t>VEGA GONZALEZ JOSE ALEJANDRO</t>
  </si>
  <si>
    <t>4142730364</t>
  </si>
  <si>
    <t>115</t>
  </si>
  <si>
    <t>22MMS0150Z</t>
  </si>
  <si>
    <t>SANTIAGO GALAS</t>
  </si>
  <si>
    <t>22PBH0043B</t>
  </si>
  <si>
    <t>CALLE COCINERAS</t>
  </si>
  <si>
    <t>GUERRERO AGUILAR CARLOS</t>
  </si>
  <si>
    <t>4428527294</t>
  </si>
  <si>
    <t>22MMS0153W</t>
  </si>
  <si>
    <t>COLEGIO EDUCACION Y PATRIA</t>
  </si>
  <si>
    <t>22PBH0046Z</t>
  </si>
  <si>
    <t>LOMAS DE QUERETARO</t>
  </si>
  <si>
    <t>BOULEVARD DE LAS AMERICAS</t>
  </si>
  <si>
    <t>GARCIA NAVARRO MARÍA NATIVIDAD</t>
  </si>
  <si>
    <t>4422165234</t>
  </si>
  <si>
    <t>106</t>
  </si>
  <si>
    <t>22MMS0154V</t>
  </si>
  <si>
    <t>PREPARATORIA CERVANTES</t>
  </si>
  <si>
    <t>22PBH0047Y</t>
  </si>
  <si>
    <t>LOS OLVERA</t>
  </si>
  <si>
    <t>AVENIDA CAMINO REAL</t>
  </si>
  <si>
    <t>SOSA RODRIGUEZ MA MAYELA</t>
  </si>
  <si>
    <t>22MMS0155U</t>
  </si>
  <si>
    <t>COLEGIO CELTA INTERNACIONAL</t>
  </si>
  <si>
    <t>22PBH0049W</t>
  </si>
  <si>
    <t>POTRERO CARRIZAL</t>
  </si>
  <si>
    <t>NINGUNO CARRETERA TEQUISQUIAPAN-XILITLA</t>
  </si>
  <si>
    <t>BARAJAS LOPEZ DIANA</t>
  </si>
  <si>
    <t>4142730956</t>
  </si>
  <si>
    <t>22MMS0156T</t>
  </si>
  <si>
    <t>COLEGIO REAL DE QUERENDA BACHILLERATO</t>
  </si>
  <si>
    <t>22PBH0050L</t>
  </si>
  <si>
    <t>NINGUNO LIBRAMIENTO SUR-PONIENTE</t>
  </si>
  <si>
    <t>GAYTAN ACUÑA JUAN JOSÉ</t>
  </si>
  <si>
    <t>4421836953</t>
  </si>
  <si>
    <t>22MMS0157S</t>
  </si>
  <si>
    <t>VANGUARDIA EDUCATIVA DE MEXICO</t>
  </si>
  <si>
    <t>22PBH0052J</t>
  </si>
  <si>
    <t>CALLE CIRCUNVALACIÓN</t>
  </si>
  <si>
    <t>ESPINO TREJO AURELIA GEORGINA</t>
  </si>
  <si>
    <t>4422138151</t>
  </si>
  <si>
    <t>22MMS0158R</t>
  </si>
  <si>
    <t>CLARA BARTON</t>
  </si>
  <si>
    <t>22PBH0053I</t>
  </si>
  <si>
    <t>RANCHO SAN ANTONIO</t>
  </si>
  <si>
    <t>CALLE ASTEROIDES</t>
  </si>
  <si>
    <t>GAYTAN FONSECA ANA LUISA</t>
  </si>
  <si>
    <t>4422450833</t>
  </si>
  <si>
    <t>255</t>
  </si>
  <si>
    <t>22MMS0159Q</t>
  </si>
  <si>
    <t>INSTITUTO THOMAS JEFFERSON</t>
  </si>
  <si>
    <t>22PBH0054H</t>
  </si>
  <si>
    <t>CALLE CEDROS</t>
  </si>
  <si>
    <t>VALENZUELA PEÑA JOSE ANTONIO</t>
  </si>
  <si>
    <t>4272749078</t>
  </si>
  <si>
    <t>22MMS0160F</t>
  </si>
  <si>
    <t>INSTITUTO SANTIAGO (PREPARATORIA)</t>
  </si>
  <si>
    <t>22PBH0055G</t>
  </si>
  <si>
    <t>RODRÍGUEZ SALCEDO IRMA MARIA DEL PILAR</t>
  </si>
  <si>
    <t>4422259135</t>
  </si>
  <si>
    <t>22MMS0161E</t>
  </si>
  <si>
    <t>BACHILLERATO CARL ROGERS</t>
  </si>
  <si>
    <t>22PBH0056F</t>
  </si>
  <si>
    <t>CALLEJÓN SAN JOAQUIN</t>
  </si>
  <si>
    <t>GARCIA PEREZ MAURICIO</t>
  </si>
  <si>
    <t>4422571110</t>
  </si>
  <si>
    <t>102</t>
  </si>
  <si>
    <t>22MMS0162D</t>
  </si>
  <si>
    <t>COLEGIO GRAN BRETAÑA</t>
  </si>
  <si>
    <t>22PBH0057E</t>
  </si>
  <si>
    <t>101</t>
  </si>
  <si>
    <t>LA PIEDAD</t>
  </si>
  <si>
    <t>CALLE RETABLO</t>
  </si>
  <si>
    <t>RODRIGUEZ FLORES ANA GUILLERMINA</t>
  </si>
  <si>
    <t>4422141015</t>
  </si>
  <si>
    <t>22MMS0166Z</t>
  </si>
  <si>
    <t>LICEO CORREGIDORA</t>
  </si>
  <si>
    <t>22PBH0062Q</t>
  </si>
  <si>
    <t>EL RETABLO</t>
  </si>
  <si>
    <t>AVENIDA CAMINO A VANEGAS</t>
  </si>
  <si>
    <t>22MMS0167Z</t>
  </si>
  <si>
    <t>COLEGIO SOUTH HILL DE QUERETARO, S.C.</t>
  </si>
  <si>
    <t>22PBH0063P</t>
  </si>
  <si>
    <t>NEGRETA</t>
  </si>
  <si>
    <t>CALLE CARRETERA A HUIMILPAN KM 1.2</t>
  </si>
  <si>
    <t>GOMEZ DE ALBA MARIA CECILIA</t>
  </si>
  <si>
    <t>4423497793</t>
  </si>
  <si>
    <t>22MMS0168Y</t>
  </si>
  <si>
    <t>COLEGIO WEXFORD</t>
  </si>
  <si>
    <t>22PBH0064O</t>
  </si>
  <si>
    <t>CALLE AVENIDA REAL</t>
  </si>
  <si>
    <t>MIRANDA RIVAS JONNY</t>
  </si>
  <si>
    <t>4422103134</t>
  </si>
  <si>
    <t>113</t>
  </si>
  <si>
    <t>22MMS0169X</t>
  </si>
  <si>
    <t>COLEGIO BOSQUES PREPARATORIA CAMPUS REAL</t>
  </si>
  <si>
    <t>22PBH0065N</t>
  </si>
  <si>
    <t>SERRANO GARDUÑO ADRIANA MARGARITA</t>
  </si>
  <si>
    <t>4422155082</t>
  </si>
  <si>
    <t>22MMS0171L</t>
  </si>
  <si>
    <t>COLEGIO GENERAL REGULES</t>
  </si>
  <si>
    <t>22PBH0067L</t>
  </si>
  <si>
    <t>MOMPANÍ</t>
  </si>
  <si>
    <t>LIBRAMIENTO SUR-PONIENTE 33982 MOMPANÍ, QRO.</t>
  </si>
  <si>
    <t>CALLE LIBRAMIENTO SUR-PONIENTE</t>
  </si>
  <si>
    <t>LOPEZ DE ESCALERA PRADO SANDRA</t>
  </si>
  <si>
    <t>4422341820</t>
  </si>
  <si>
    <t>1310</t>
  </si>
  <si>
    <t>22MMS0172K</t>
  </si>
  <si>
    <t>COLEGIO SUNHILLS VALLEY</t>
  </si>
  <si>
    <t>22PBH0068K</t>
  </si>
  <si>
    <t>CALLE FRANCISCO I MADERO</t>
  </si>
  <si>
    <t>MEZA MARTÍNEZ LUIS ALFREDO</t>
  </si>
  <si>
    <t>4422403868</t>
  </si>
  <si>
    <t>22MMS0173J</t>
  </si>
  <si>
    <t>COLEGIO NUEVA ESPAÑA</t>
  </si>
  <si>
    <t>22PBH0069J</t>
  </si>
  <si>
    <t>AVENIDA CONSTITUYENTES PONIENTE</t>
  </si>
  <si>
    <t>BELLO GUERRA PEDRO JAVIER</t>
  </si>
  <si>
    <t>4422426168</t>
  </si>
  <si>
    <t>22MMS0174I</t>
  </si>
  <si>
    <t>CENTRO DE INNOVACION EDUCATIVA MEXICO</t>
  </si>
  <si>
    <t>22PBH0070Z</t>
  </si>
  <si>
    <t>CERRITO COLORADO</t>
  </si>
  <si>
    <t>AVENIDA DE LA LUZ</t>
  </si>
  <si>
    <t>YEPEZ REYNA ANTONIO EDUARDO</t>
  </si>
  <si>
    <t>4421992392</t>
  </si>
  <si>
    <t>22MMS0175H</t>
  </si>
  <si>
    <t>PREPARATORIA NUEVO HORIZONTE</t>
  </si>
  <si>
    <t>22PBH0071Y</t>
  </si>
  <si>
    <t>NOCTURNO</t>
  </si>
  <si>
    <t>ALAMOS 2A SECCION</t>
  </si>
  <si>
    <t>AVENIDA INDUSTRIALIZACION</t>
  </si>
  <si>
    <t>ZAMORA ARREOLA RAUL</t>
  </si>
  <si>
    <t>4422451545</t>
  </si>
  <si>
    <t>22MMS0177F</t>
  </si>
  <si>
    <t>PREPARATORIA DE NEGOCIOS</t>
  </si>
  <si>
    <t>22PBH0073W</t>
  </si>
  <si>
    <t>JURIQUILLA</t>
  </si>
  <si>
    <t>JURICA ACUEDUCTO</t>
  </si>
  <si>
    <t>CALLE MISION DE SAN FRANCISCO</t>
  </si>
  <si>
    <t>ESPINOSA CHAVARRIA RAUL</t>
  </si>
  <si>
    <t>4422381386</t>
  </si>
  <si>
    <t>319</t>
  </si>
  <si>
    <t>22MMS0178E</t>
  </si>
  <si>
    <t>COLEGIO CAROL BAUR</t>
  </si>
  <si>
    <t>22PBH0074V</t>
  </si>
  <si>
    <t>JURICA</t>
  </si>
  <si>
    <t>CALLE PASEO DEL MESON</t>
  </si>
  <si>
    <t>GOMEZ TAPIA GABRIELA MARGARITA</t>
  </si>
  <si>
    <t>4422343042</t>
  </si>
  <si>
    <t>120</t>
  </si>
  <si>
    <t>22MMS0179D</t>
  </si>
  <si>
    <t>COLEGIO INTERNACIONAL DE QUERETARO</t>
  </si>
  <si>
    <t>22PBH0075U</t>
  </si>
  <si>
    <t>RANCHO BANTHI</t>
  </si>
  <si>
    <t>CALLE SAN LUIS POTOSI</t>
  </si>
  <si>
    <t>ALARCÓN UGALDE MCE MARÍA ESTHER</t>
  </si>
  <si>
    <t>4276882748</t>
  </si>
  <si>
    <t>105</t>
  </si>
  <si>
    <t>22MMS0180T</t>
  </si>
  <si>
    <t>INSTITUTO RENACIMIENTO PREPARATORIA</t>
  </si>
  <si>
    <t>22PBH0077S</t>
  </si>
  <si>
    <t>22PBH0078R</t>
  </si>
  <si>
    <t>UNIVERSIDAD MARISTA DE QUERETARO, PREPARATORIA VESPERTINA</t>
  </si>
  <si>
    <t>PROLONGACIÓN BERNARDO QUINTANA</t>
  </si>
  <si>
    <t>RODRIGUEZ FRIAS CRISTINA</t>
  </si>
  <si>
    <t>4422603040</t>
  </si>
  <si>
    <t>232</t>
  </si>
  <si>
    <t>22MMS0182R</t>
  </si>
  <si>
    <t>COLEGIO HELEN PARKHURST</t>
  </si>
  <si>
    <t>22PBH0080F</t>
  </si>
  <si>
    <t>CALLE SAN FRANCISCO DE ASIS</t>
  </si>
  <si>
    <t>MIJARES GUTIÉRREZ MARÍA LUISA</t>
  </si>
  <si>
    <t>4424021940</t>
  </si>
  <si>
    <t>22MMS0183Q</t>
  </si>
  <si>
    <t>PREPA PLENUS</t>
  </si>
  <si>
    <t>22PBH0081E</t>
  </si>
  <si>
    <t>LA LAGUNA</t>
  </si>
  <si>
    <t>CALLE AQUILES SERDAN</t>
  </si>
  <si>
    <t>SOTO HERNÁNDEZ MARIANA</t>
  </si>
  <si>
    <t>4412770903</t>
  </si>
  <si>
    <t>22MMS0184P</t>
  </si>
  <si>
    <t>INSTITUTO SOCIAL COMERCIAL EN CONTADURIA ADMINISTRATIVA A.C.</t>
  </si>
  <si>
    <t>22PBH0082D</t>
  </si>
  <si>
    <t>AVENIDA EJÉRCITO REPUBLICANO</t>
  </si>
  <si>
    <t>EPARDO GONZÃLEZ RAÚL JAVIER</t>
  </si>
  <si>
    <t>4422132242</t>
  </si>
  <si>
    <t>22MMS0185O</t>
  </si>
  <si>
    <t>COLEGIO MASIA DE QUERETARO</t>
  </si>
  <si>
    <t>22PBH0083C</t>
  </si>
  <si>
    <t>CALLE IGNACIO ZARAGOZA</t>
  </si>
  <si>
    <t>22MMS0186N</t>
  </si>
  <si>
    <t>PREPARATORIA UNIVERSIDAD MARISTA DE QUERETARO, CAMPUS SAN JUAN DEL RIO</t>
  </si>
  <si>
    <t>22PBH0084B</t>
  </si>
  <si>
    <t>AVENIDA CIRCUNVALACIÓN</t>
  </si>
  <si>
    <t>PÉREZ PIZA HECTOR EDUARDO</t>
  </si>
  <si>
    <t>4422132751</t>
  </si>
  <si>
    <t>22MMS0188L</t>
  </si>
  <si>
    <t>INSTITUTO DE LIDERAZGO IDEL</t>
  </si>
  <si>
    <t>22PBH0086Z</t>
  </si>
  <si>
    <t>BOULEVARD VILLAS DEL MESON</t>
  </si>
  <si>
    <t>4429620698</t>
  </si>
  <si>
    <t>22MMS0189K</t>
  </si>
  <si>
    <t>NEW PORT HIGH SCHOOL</t>
  </si>
  <si>
    <t>22PBH0087Z</t>
  </si>
  <si>
    <t>SAN SEBASTIAN</t>
  </si>
  <si>
    <t>AVENIDA UNIVERSIDAD ORIENTE</t>
  </si>
  <si>
    <t>GARCIA ROJO JESÚS</t>
  </si>
  <si>
    <t>4425856016</t>
  </si>
  <si>
    <t>22MMS0190Z</t>
  </si>
  <si>
    <t>PREPA IDAI</t>
  </si>
  <si>
    <t>22PBH0088Y</t>
  </si>
  <si>
    <t>RESIDENCIAL LOS ARCOS</t>
  </si>
  <si>
    <t>BOULEVARD BERNARDO QUINTANA ARRIOJA</t>
  </si>
  <si>
    <t>CARDOSO CASADO SANTIAGO</t>
  </si>
  <si>
    <t>4422139002</t>
  </si>
  <si>
    <t>114</t>
  </si>
  <si>
    <t>22MMS0191Z</t>
  </si>
  <si>
    <t>PREPARATORIA CUAUHTEMOC QUERETARO</t>
  </si>
  <si>
    <t>22PBH0089X</t>
  </si>
  <si>
    <t>LA CIMA</t>
  </si>
  <si>
    <t>CIRCUITO LA CIMA</t>
  </si>
  <si>
    <t>CARRION FAJARDO PILAR EUGENIA</t>
  </si>
  <si>
    <t>4422543390</t>
  </si>
  <si>
    <t>22MMS0009J</t>
  </si>
  <si>
    <t>COLEGIO SUIZO DE MEXICO</t>
  </si>
  <si>
    <t>22PBH0091L</t>
  </si>
  <si>
    <t>LA ERA</t>
  </si>
  <si>
    <t>CALLE ESTIO</t>
  </si>
  <si>
    <t>VENEGAS CUELLAR JORGE SALATIEL</t>
  </si>
  <si>
    <t>4422242057</t>
  </si>
  <si>
    <t>22MMS0230K</t>
  </si>
  <si>
    <t>CENTRO DE ESTUDIOS DE BACHILLERATO JOHN VON NEWMAN</t>
  </si>
  <si>
    <t>22PBH0092K</t>
  </si>
  <si>
    <t>CENTRO DE FORMACIÓN INTEGRAL DE BACHILLERATO PLANTEL QUERÉTARO</t>
  </si>
  <si>
    <t>CALLE SHINDO</t>
  </si>
  <si>
    <t>PALACIOS VAZQUEZ JORGE</t>
  </si>
  <si>
    <t>4424760387</t>
  </si>
  <si>
    <t>22MMS0258Q</t>
  </si>
  <si>
    <t>COLEGIO MILITARIZADO NUEVO MEXICO CAMPUS QUERETARO</t>
  </si>
  <si>
    <t>22PBH0093J</t>
  </si>
  <si>
    <t>AVENIDA 5 DE FEBRERO</t>
  </si>
  <si>
    <t>ARCOS ACOSTA EDUARDO</t>
  </si>
  <si>
    <t>4422455000</t>
  </si>
  <si>
    <t>67060</t>
  </si>
  <si>
    <t>22MMS0260E</t>
  </si>
  <si>
    <t>UNIVERSIDAD TECNOLOGICA DE MEXICO BACHILLERATO, CAMPUS QUERETARO</t>
  </si>
  <si>
    <t>22PBH0094I</t>
  </si>
  <si>
    <t>SANTA CRUZ NIETO</t>
  </si>
  <si>
    <t>AVENIDA CUATRO ORIENTE</t>
  </si>
  <si>
    <t>MANCILLA SANCHEZ MARIA VIRIDIANA</t>
  </si>
  <si>
    <t>4271396674</t>
  </si>
  <si>
    <t>22MMS0263B</t>
  </si>
  <si>
    <t>EDUCATIVA METROPOLITANA</t>
  </si>
  <si>
    <t>22PBH0095H</t>
  </si>
  <si>
    <t>CAMINO A LOS OLVERA</t>
  </si>
  <si>
    <t>ROCHA MENDEZ MARIA FERNANDA</t>
  </si>
  <si>
    <t>4422148010</t>
  </si>
  <si>
    <t>22MMS0264A</t>
  </si>
  <si>
    <t>HIGH SCHOOL JOHN DEWEY</t>
  </si>
  <si>
    <t>22PBH0096G</t>
  </si>
  <si>
    <t>ENSUEÑO</t>
  </si>
  <si>
    <t>PROLONGACIÓN IGNACIO ZARAGOZA</t>
  </si>
  <si>
    <t>CHAVEZ GONZALEZ GABRIELA</t>
  </si>
  <si>
    <t>4421828300</t>
  </si>
  <si>
    <t>7001</t>
  </si>
  <si>
    <t>22MMS0212V</t>
  </si>
  <si>
    <t>BACHILLERATO UNEA CAMPUS QUERETARO</t>
  </si>
  <si>
    <t>22PBH0097F</t>
  </si>
  <si>
    <t>FELIPE CARRILLO PUERTO</t>
  </si>
  <si>
    <t>CALLE MOTUL</t>
  </si>
  <si>
    <t>DIAZ ZEPEDA RAUL</t>
  </si>
  <si>
    <t>4422179515</t>
  </si>
  <si>
    <t>22MMS0266Z</t>
  </si>
  <si>
    <t>PREPARATORIA SUMMERHILL</t>
  </si>
  <si>
    <t>22PBH0098E</t>
  </si>
  <si>
    <t>CIUDAD DEL SOL</t>
  </si>
  <si>
    <t>CIRCUITO PUERTA DEL SOL</t>
  </si>
  <si>
    <t>GALICIA MARTINEZ MINERVA</t>
  </si>
  <si>
    <t>4425379682</t>
  </si>
  <si>
    <t>22MMS0219O</t>
  </si>
  <si>
    <t>PREPARATORIA CESBA</t>
  </si>
  <si>
    <t>22PBH0099D</t>
  </si>
  <si>
    <t>LA LOMA</t>
  </si>
  <si>
    <t>CALLE MONTE HOREB</t>
  </si>
  <si>
    <t>SERRET OLIVARES ALEJANDRO</t>
  </si>
  <si>
    <t>4422242425</t>
  </si>
  <si>
    <t>22MMS0270L</t>
  </si>
  <si>
    <t>MH INSTITUCIÓN EDUCATIVA</t>
  </si>
  <si>
    <t>22PBH0101B</t>
  </si>
  <si>
    <t>ORGANISMO INTERNACIONAL</t>
  </si>
  <si>
    <t>TLACOTE EL BAJO</t>
  </si>
  <si>
    <t>CALLE LIBRAMIENTO SUR - PONIENTE</t>
  </si>
  <si>
    <t>SÁNCHEZ ARRECHEA MAPPY</t>
  </si>
  <si>
    <t>4422350103</t>
  </si>
  <si>
    <t>22MMS0271K</t>
  </si>
  <si>
    <t>COLEGIO AUSTRIACO MEXICANO PREPARATORIA</t>
  </si>
  <si>
    <t>22PBH0102A</t>
  </si>
  <si>
    <t>ESPINOSA CRUZ JESUS</t>
  </si>
  <si>
    <t>4429620221</t>
  </si>
  <si>
    <t>22MMS0272J</t>
  </si>
  <si>
    <t>INSTITUTO DE LA JUVENTUD JOSÉ MARTÍ</t>
  </si>
  <si>
    <t>22PBH0103Z</t>
  </si>
  <si>
    <t>El Mirador</t>
  </si>
  <si>
    <t>PROLONGACIÓN CONSTITUYENTES</t>
  </si>
  <si>
    <t>REYES SEQUERA REBECA</t>
  </si>
  <si>
    <t>4461059910</t>
  </si>
  <si>
    <t>22MMS0273I</t>
  </si>
  <si>
    <t>INSTITUTO PAULO FREIRE PREPARATORIA</t>
  </si>
  <si>
    <t>22PBH0104Z</t>
  </si>
  <si>
    <t>PUEBLO NUEVO</t>
  </si>
  <si>
    <t>CALLE RUFINO TAMAYO</t>
  </si>
  <si>
    <t>VARGAS IBARRA ANA VERONICA</t>
  </si>
  <si>
    <t>4422255173</t>
  </si>
  <si>
    <t>22MMS0274H</t>
  </si>
  <si>
    <t>INSTITUTO UNIVERSITARIO DE DESARROLLO HUMANO E INNOVACIÓN PROFESIONAL</t>
  </si>
  <si>
    <t>22PBH0105Y</t>
  </si>
  <si>
    <t>VILLAS DEL SUR</t>
  </si>
  <si>
    <t>CALLE GONZALO RIO ARRONTE</t>
  </si>
  <si>
    <t>CAMPOS GONZALEZ ARTURO</t>
  </si>
  <si>
    <t>4422761943</t>
  </si>
  <si>
    <t>22MMS0276F</t>
  </si>
  <si>
    <t>COLEGIO UNIVERSITARIO DE HUMANIDADES ( CUDH )</t>
  </si>
  <si>
    <t>22PBH0106X</t>
  </si>
  <si>
    <t>AVENIDA CUATRO</t>
  </si>
  <si>
    <t>SALAS TORRES RICARDO HOMERO</t>
  </si>
  <si>
    <t>3323398132</t>
  </si>
  <si>
    <t>22MMS0278D</t>
  </si>
  <si>
    <t>CENTRO INTERACTIVO DE EDUCACIÓN Y ALTA ESPECIALIZACIÓN CIEE</t>
  </si>
  <si>
    <t>22PBH0107W</t>
  </si>
  <si>
    <t>BARRIO DE LA MAGDALENA</t>
  </si>
  <si>
    <t>CALLE VICENTE SUAREZ</t>
  </si>
  <si>
    <t>GOMEZ SANCHO SILVIA GUADALUPE</t>
  </si>
  <si>
    <t>4142733739</t>
  </si>
  <si>
    <t>22MMS0193X</t>
  </si>
  <si>
    <t>INSTITUTO BILINGUE VICTORIA, A. C.</t>
  </si>
  <si>
    <t>22PBH0802U</t>
  </si>
  <si>
    <t>CALLE ARTEAGA</t>
  </si>
  <si>
    <t>BALDERAS PEREZ MA. TRINIDAD</t>
  </si>
  <si>
    <t>4422121878</t>
  </si>
  <si>
    <t>22MMS0194W</t>
  </si>
  <si>
    <t>CLEMENCIA BORJA TABOADA</t>
  </si>
  <si>
    <t>22PBH3056Z</t>
  </si>
  <si>
    <t>MORALES LOPEZ CORNELIA</t>
  </si>
  <si>
    <t>230</t>
  </si>
  <si>
    <t>22MMS0195V</t>
  </si>
  <si>
    <t>22PBH3072R</t>
  </si>
  <si>
    <t>CALLE IGNACIO LÓPEZ RAYÓN</t>
  </si>
  <si>
    <t>RIOS LOYOLA THANIA</t>
  </si>
  <si>
    <t>4272726311</t>
  </si>
  <si>
    <t>1007</t>
  </si>
  <si>
    <t>22MMS0196U</t>
  </si>
  <si>
    <t>CENTRO UNION</t>
  </si>
  <si>
    <t>22PBH3074P</t>
  </si>
  <si>
    <t>ACUEDUCTO</t>
  </si>
  <si>
    <t>CALLE EL SOL</t>
  </si>
  <si>
    <t>VAZQUEZ VELAZQUEZ MARIA ALMA</t>
  </si>
  <si>
    <t>4422231195</t>
  </si>
  <si>
    <t>130</t>
  </si>
  <si>
    <t>22MMS0197T</t>
  </si>
  <si>
    <t>INSTITUTO LA PAZ DE QUERETARO, A.C.</t>
  </si>
  <si>
    <t>22PBH3080Z</t>
  </si>
  <si>
    <t>AVENIDA SABINOS</t>
  </si>
  <si>
    <t>PONCE DE LEON DOMINGUEZ ARACELI</t>
  </si>
  <si>
    <t>4422180075</t>
  </si>
  <si>
    <t>1905</t>
  </si>
  <si>
    <t>22MMS0198S</t>
  </si>
  <si>
    <t>JOHN F KENNEDY</t>
  </si>
  <si>
    <t>22PBH3143V</t>
  </si>
  <si>
    <t>BOULEVARD JURIQUILLA</t>
  </si>
  <si>
    <t>BENHUMEA GONZALEZ MARIA SELENE</t>
  </si>
  <si>
    <t>4422111957</t>
  </si>
  <si>
    <t>22MMS0199R</t>
  </si>
  <si>
    <t>BACHILLERATO DE LA UNIVERSIDAD DEL VALLE DE MEXICO QUERETARO</t>
  </si>
  <si>
    <t>22PBH3182X</t>
  </si>
  <si>
    <t>ESPÍRITU SANTO (LAS GALLINAS)</t>
  </si>
  <si>
    <t>CALLE MARAVILLAS</t>
  </si>
  <si>
    <t>MAINOU CERVANTES FERNANDO</t>
  </si>
  <si>
    <t>4272727284</t>
  </si>
  <si>
    <t>22MMS0200Q</t>
  </si>
  <si>
    <t>COLEGIO LA SALLE SAN JUAN DEL RIO</t>
  </si>
  <si>
    <t>22PBH3186T</t>
  </si>
  <si>
    <t>LOMA DORADA</t>
  </si>
  <si>
    <t>CERRADA DE LA ASUNCIÓN</t>
  </si>
  <si>
    <t>VELAZQUEZ HERNANDEZ MARIA TERESA</t>
  </si>
  <si>
    <t>4422388100</t>
  </si>
  <si>
    <t>7602</t>
  </si>
  <si>
    <t>22MMS0201P</t>
  </si>
  <si>
    <t>PREPARATORIA DEL INSTITUTO ASUNCION DE QUERETARO</t>
  </si>
  <si>
    <t>22PBH3241W</t>
  </si>
  <si>
    <t>PRIVADA IGNACIO PÉREZ</t>
  </si>
  <si>
    <t>MONTES GOMEZ MARTHA EUGENIA</t>
  </si>
  <si>
    <t>4421961400</t>
  </si>
  <si>
    <t>1223</t>
  </si>
  <si>
    <t>22MMS0202O</t>
  </si>
  <si>
    <t>CENTRO UNIVERSITARIO DE EDUCACION CONTEMPORANEA</t>
  </si>
  <si>
    <t>22PBH3292C</t>
  </si>
  <si>
    <t>CALLE 5 DE MAYO</t>
  </si>
  <si>
    <t>GALARZA HERNANDEZ JAIME</t>
  </si>
  <si>
    <t>4272727803</t>
  </si>
  <si>
    <t>22MMS0203N</t>
  </si>
  <si>
    <t>PREPARATORIA CONIN</t>
  </si>
  <si>
    <t>22PBH3314Y</t>
  </si>
  <si>
    <t>EL CAMPANARIO</t>
  </si>
  <si>
    <t>CALLE AV. DEL CAMPANARIO</t>
  </si>
  <si>
    <t>ARIZMENDI OLGUIN RAFAEL</t>
  </si>
  <si>
    <t>4422455670</t>
  </si>
  <si>
    <t>700</t>
  </si>
  <si>
    <t>22MMS0204M</t>
  </si>
  <si>
    <t>PREPA ANÁHUAC QUERÉTARO</t>
  </si>
  <si>
    <t>22PBH3390D</t>
  </si>
  <si>
    <t>CALLE CERRO BLANCO</t>
  </si>
  <si>
    <t>JAIME MARTINEZ IRMA ELENA</t>
  </si>
  <si>
    <t>4421991520</t>
  </si>
  <si>
    <t>22MMS0206K</t>
  </si>
  <si>
    <t>BACHILLERATO COLEGIO MEXICO NUEVO CAMPUS QUERETARO</t>
  </si>
  <si>
    <t>22PBH3676H</t>
  </si>
  <si>
    <t>RUIZ ZAVALA JOSÉ DOLORES</t>
  </si>
  <si>
    <t>22PBH3716S</t>
  </si>
  <si>
    <t>BACHILLERATO ANGLO MEXICANO</t>
  </si>
  <si>
    <t>NINGUNO CAMINO REAL</t>
  </si>
  <si>
    <t>MAEDA AMAYA FERNANDO</t>
  </si>
  <si>
    <t>4423841000</t>
  </si>
  <si>
    <t>4000</t>
  </si>
  <si>
    <t>22MMS0208I</t>
  </si>
  <si>
    <t>UNIVERSIDAD TEC MILENIO</t>
  </si>
  <si>
    <t>22PBH3721D</t>
  </si>
  <si>
    <t>SALINAS CASTILLO FELIPE</t>
  </si>
  <si>
    <t>4272729935</t>
  </si>
  <si>
    <t>22MMS0210X</t>
  </si>
  <si>
    <t>UNIVERSIDAD ALFRED NOBEL BACHILLERATO</t>
  </si>
  <si>
    <t>22PBH3804M</t>
  </si>
  <si>
    <t>REAL DE LOS NOGALES</t>
  </si>
  <si>
    <t>CALLE CIRUELO</t>
  </si>
  <si>
    <t>RÍOS SUASTI ALONDRA ALEJANDRA</t>
  </si>
  <si>
    <t>4272646367</t>
  </si>
  <si>
    <t>22MMS0211W</t>
  </si>
  <si>
    <t>PREPARATORIA INTERCULTURAL SAN PATRICIO</t>
  </si>
  <si>
    <t>22PBH3814T</t>
  </si>
  <si>
    <t>22PBH3834G</t>
  </si>
  <si>
    <t>PRADOS DE LA CAPILLA</t>
  </si>
  <si>
    <t>PROLONGACIÓN ZARAGOZA</t>
  </si>
  <si>
    <t>PACHECO RIVERA JOAS GADDY</t>
  </si>
  <si>
    <t>4422563319</t>
  </si>
  <si>
    <t>22MMS0214T</t>
  </si>
  <si>
    <t>BACHILLERATO NUEVO CONTINENTE CAMPUS QUERETARO</t>
  </si>
  <si>
    <t>22PBH3888K</t>
  </si>
  <si>
    <t>AVENIDA JUAREZ PONIENTE</t>
  </si>
  <si>
    <t>MENA HERNÁNDEZ PATRICIA</t>
  </si>
  <si>
    <t>4277168000</t>
  </si>
  <si>
    <t>121</t>
  </si>
  <si>
    <t>22MMS0216R</t>
  </si>
  <si>
    <t>INSTITUTO PREUNIVERSITARIO DEL CENTRO DE MEXICO CAMPUS SAN JUAN DEL RIO</t>
  </si>
  <si>
    <t>22PBH3896T</t>
  </si>
  <si>
    <t>CALLE IGNACIO ZARAGOZA PONIENTE</t>
  </si>
  <si>
    <t>4773433214</t>
  </si>
  <si>
    <t>22MMS0217Q</t>
  </si>
  <si>
    <t>INSTITUTO PREUNIVERSITARIO DEL CENTRO DE MEXICO CAMPUS QUERETARO</t>
  </si>
  <si>
    <t>22PBH3902N</t>
  </si>
  <si>
    <t>AVENIDA RIVERA DEL RÍO</t>
  </si>
  <si>
    <t>LOAM LIMON LAURA</t>
  </si>
  <si>
    <t>4422166709</t>
  </si>
  <si>
    <t>22MMS0218P</t>
  </si>
  <si>
    <t>BACHILLERATO UGM QUERETARO</t>
  </si>
  <si>
    <t>22PBH3922A</t>
  </si>
  <si>
    <t>AUTÓNOMO</t>
  </si>
  <si>
    <t>UNIVERSIDADES AUTÓNOMAS</t>
  </si>
  <si>
    <t>LAS AMERICAS</t>
  </si>
  <si>
    <t>CALZADA DEL SOMBRERETE</t>
  </si>
  <si>
    <t>NIEVES MEDRANO JAIME</t>
  </si>
  <si>
    <t>4421921200</t>
  </si>
  <si>
    <t>5000</t>
  </si>
  <si>
    <t>22MMS0243O</t>
  </si>
  <si>
    <t>ESCUELA DE BACHILLERES DE LA UAQ, PLANTEL NORTE</t>
  </si>
  <si>
    <t>22UBH0001O</t>
  </si>
  <si>
    <t>JOSÉ ROSAS MORENO</t>
  </si>
  <si>
    <t>CALLE MOISES SOLANA .</t>
  </si>
  <si>
    <t>22MMS0244N</t>
  </si>
  <si>
    <t>ESCUELA DE BACHILLERES DE LA UAQ, PLANTEL SUR</t>
  </si>
  <si>
    <t>22UBH0002N</t>
  </si>
  <si>
    <t>192-120-00</t>
  </si>
  <si>
    <t>CALLE CORREGIDORA</t>
  </si>
  <si>
    <t>4421556873</t>
  </si>
  <si>
    <t>22MMS0245M</t>
  </si>
  <si>
    <t>ESCUELA DE BACHILLERES DE LA UAQ, PLANTEL SAN JUAN DEL RIO</t>
  </si>
  <si>
    <t>22UBH0003M</t>
  </si>
  <si>
    <t>AJUCHITLÁN</t>
  </si>
  <si>
    <t>HÉROES DE LA REVOLUCIÓN</t>
  </si>
  <si>
    <t>CALLE DE REVOLUCIÓN</t>
  </si>
  <si>
    <t>22MMS0246L</t>
  </si>
  <si>
    <t>ESCUELA DE BACHILLERES DE LA UAQ, PLANTEL COLON</t>
  </si>
  <si>
    <t>22UBH0004L</t>
  </si>
  <si>
    <t>EL SAUZ (SAUZ ALTO, SAUZ BAJO)</t>
  </si>
  <si>
    <t>CALLE CARRETERA PANAMERICANA</t>
  </si>
  <si>
    <t>22MMS0247K</t>
  </si>
  <si>
    <t>ESCUELA DE BACHILLERES DE LA UAQ, PLANTEL PEDRO ESCOBEDO</t>
  </si>
  <si>
    <t>22UBH0005K</t>
  </si>
  <si>
    <t>22MMS0248J</t>
  </si>
  <si>
    <t>ESCUELA DE BACHILLERES DE LA UAQ, MODALIDAD MIXTA Y NO ESCOLARIZADA</t>
  </si>
  <si>
    <t>PROLONGACIÓN INDEPENDENCIA</t>
  </si>
  <si>
    <t>22MMS0249I</t>
  </si>
  <si>
    <t>ESCUELA DE BACHILLERES DE LA UAQ, PLANTEL BICENTENARIO</t>
  </si>
  <si>
    <t>22UBH0007I</t>
  </si>
  <si>
    <t>AMAZCALA</t>
  </si>
  <si>
    <t>CALLE CARRETERA A CHICHIMEQUILLAS KM 1</t>
  </si>
  <si>
    <t>22MMS0250Y</t>
  </si>
  <si>
    <t>ESCUELA DE BACHILLERES DE LA UAQ, PLANTEL AMAZCALA</t>
  </si>
  <si>
    <t>22UBH0009G</t>
  </si>
  <si>
    <t>CONCÁ</t>
  </si>
  <si>
    <t>VALLE AGRICOLA CONCA</t>
  </si>
  <si>
    <t>CALLE VALLE AGRÍCOLA</t>
  </si>
  <si>
    <t>22MMS0251X</t>
  </si>
  <si>
    <t>ESCUELA DE BACHILLERES DE LA UAQ, PLANTEL CONCA</t>
  </si>
  <si>
    <t>22UBH0010W</t>
  </si>
  <si>
    <t>BOULEVARD POLICARPIO OLVERA</t>
  </si>
  <si>
    <t>22MMS0262C</t>
  </si>
  <si>
    <t>ESCUELA DE BACHILLERES DE LA UAQ, PLANTEL JALPAN</t>
  </si>
  <si>
    <t>22UBH0013T</t>
  </si>
  <si>
    <t>CALLE CARRETERA A SANTIAGO MEXQUITITLAN KM 1</t>
  </si>
  <si>
    <t>22MMS0267Y</t>
  </si>
  <si>
    <t>ESCUELA DE BACHILLERES DE LA UAQ, PLANTEL AMEALCO</t>
  </si>
  <si>
    <t>22UBH0014S</t>
  </si>
  <si>
    <t>PREDIO "EL POTRERO"</t>
  </si>
  <si>
    <t>NINGUNO FRACCION III</t>
  </si>
  <si>
    <t>22MMS0275G</t>
  </si>
  <si>
    <t>ESCUELA DE BACHILLERES DE LA UAQ, PLANTEL PINAL DE AMOLES</t>
  </si>
  <si>
    <t>22UBH0015R</t>
  </si>
  <si>
    <t>BACHILLERATO TECNOLÓGICO</t>
  </si>
  <si>
    <t>LA PIEDAD (SAN MIGUEL COLORADO)</t>
  </si>
  <si>
    <t>COLINAS DE LA PIEDAD</t>
  </si>
  <si>
    <t>CIRCUITO del lago</t>
  </si>
  <si>
    <t>SANCHEZ PEDRAZA IRMA</t>
  </si>
  <si>
    <t>4426090476</t>
  </si>
  <si>
    <t>22MMS0255T</t>
  </si>
  <si>
    <t>CENTRO DE ESTUDIOS TECNOLÓGICOS EN AGUAS CONTINENTALES NO. 23 EN EL MARQUÉS, QRO.</t>
  </si>
  <si>
    <t>22DCM0001I</t>
  </si>
  <si>
    <t>INDUSTRIAL BALVANERA</t>
  </si>
  <si>
    <t>CALLE DON JOSÉ</t>
  </si>
  <si>
    <t>HERNÃNDEZ BOTELLO JOSE ROBERTO</t>
  </si>
  <si>
    <t>4424148966</t>
  </si>
  <si>
    <t>22MMS0259P</t>
  </si>
  <si>
    <t>CENTRO DE ESTUDIOS TECNOLÓGICOS EN AGUAS CONTINENTALES NO. 24 EN CORREGIDORA, QRO.</t>
  </si>
  <si>
    <t>22DCM0002H</t>
  </si>
  <si>
    <t>RANGEL FERRUSCA LUIS MIGUEL</t>
  </si>
  <si>
    <t>4422140305</t>
  </si>
  <si>
    <t>22MMS0002Q</t>
  </si>
  <si>
    <t>CENTRO DE ESTUDIOS TECNOLOGICOS INDUSTRIAL Y DE SERVICIOS NUM. 16</t>
  </si>
  <si>
    <t>22DCT0016U</t>
  </si>
  <si>
    <t>CARDENAS PEREZ JOSE ALFREDO</t>
  </si>
  <si>
    <t>4422167633</t>
  </si>
  <si>
    <t>12</t>
  </si>
  <si>
    <t>22MMS0003P</t>
  </si>
  <si>
    <t>CENTRO DE ESTUDIOS TECNOLOGICOS INDUSTRIAL Y DE SERVICIOS NUM. 105</t>
  </si>
  <si>
    <t>22DCT0105N</t>
  </si>
  <si>
    <t>CALLE VENUSTIANO CARRANZA</t>
  </si>
  <si>
    <t>GASS PEREZ ING. LUIS CARLOS</t>
  </si>
  <si>
    <t>4142732893</t>
  </si>
  <si>
    <t>22MMS0004O</t>
  </si>
  <si>
    <t>CENTRO DE ESTUDIOS TECNOLOGICOS INDUSTRIAL Y DE SERVICIOS NUM. 142</t>
  </si>
  <si>
    <t>22DCT0142R</t>
  </si>
  <si>
    <t>AVENIDA PASEO CENTRAL KM 0.3</t>
  </si>
  <si>
    <t>REVUELTA ZÚÑIGA CLAUDIA</t>
  </si>
  <si>
    <t>4272726390</t>
  </si>
  <si>
    <t>22MMS0005N</t>
  </si>
  <si>
    <t>CENTRO DE BACHILLERATO TECNOLOGICO INDUSTRIAL Y DE SERVICIOS NUM. 145</t>
  </si>
  <si>
    <t>22DCT0145O</t>
  </si>
  <si>
    <t>PROLONGACIÓN CONSTITUYENTES PONIENTE</t>
  </si>
  <si>
    <t>ORTEGA HERNANDEZ EDUARDO</t>
  </si>
  <si>
    <t>4422281530</t>
  </si>
  <si>
    <t>22MMS0006M</t>
  </si>
  <si>
    <t>CENTRO DE BACHILLERATO TECNOLOGICO INDUSTRIAL Y DE SERVICIOS NUM. 118</t>
  </si>
  <si>
    <t>22DCT0419N</t>
  </si>
  <si>
    <t>SAN PEDRO AHUACATLÁN</t>
  </si>
  <si>
    <t>CALLE CARRETERA A SAN PEDRO AHUACATLAN</t>
  </si>
  <si>
    <t>RODRÍGUEZ GUZMÁN JOSÉ JULIO</t>
  </si>
  <si>
    <t>4272723013</t>
  </si>
  <si>
    <t>22MMS0011Y</t>
  </si>
  <si>
    <t>COLEGIO NACIONAL DE EDUCACION PROFESIONAL TECNICA NUM. 42 "SAN JUAN DEL RIO"</t>
  </si>
  <si>
    <t>22DPT0001W</t>
  </si>
  <si>
    <t>BENITO JUAREZ</t>
  </si>
  <si>
    <t>CALLE ACCESO IV</t>
  </si>
  <si>
    <t>HERNANDEZ BARRON ROBERTO</t>
  </si>
  <si>
    <t>4422181601</t>
  </si>
  <si>
    <t>22MMS0012X</t>
  </si>
  <si>
    <t>COLEGIO NACIONAL DE EDUCACION PROFESIONAL TECNICA NUM. 41 " QUERETARO"</t>
  </si>
  <si>
    <t>22DPT0002V</t>
  </si>
  <si>
    <t>JARDINES DEL BOSQUE</t>
  </si>
  <si>
    <t>ACOSTA AGUILAR LIC. JORGE OMAR</t>
  </si>
  <si>
    <t>4482780833</t>
  </si>
  <si>
    <t>22MMS0013W</t>
  </si>
  <si>
    <t>COLEGIO NACIONAL DE EDUCACION PROFESIONAL TECNICA "AMEALCO"</t>
  </si>
  <si>
    <t>22DPT0003U</t>
  </si>
  <si>
    <t>CALLE CARRETERA ESTATAL 200 QUERETARO-TEQUISQUIAPAN KM 17</t>
  </si>
  <si>
    <t>ARREDONDO VELAZQUEZ ALEJANDRO ALBERTO</t>
  </si>
  <si>
    <t>4426283746</t>
  </si>
  <si>
    <t>22MMS0014V</t>
  </si>
  <si>
    <t>PLANTEL CONALEP AERONAUTICO</t>
  </si>
  <si>
    <t>22DPT0004T</t>
  </si>
  <si>
    <t>PUERTAS DE SAN MIGUEL</t>
  </si>
  <si>
    <t>CALLE AV. SAN RAFAEL</t>
  </si>
  <si>
    <t>CERVANTES GOMEZ RAFAEL</t>
  </si>
  <si>
    <t>4426283643</t>
  </si>
  <si>
    <t>22MMS0277E</t>
  </si>
  <si>
    <t>PLANTEL CONALEP AUTOMOTRIZ JOSÉ VASCONCELOS</t>
  </si>
  <si>
    <t>22DPT0005S</t>
  </si>
  <si>
    <t>EL CAZADERO</t>
  </si>
  <si>
    <t>PROLONGACIÓN NUEVO LEÓN</t>
  </si>
  <si>
    <t>MORENO VAZQUEZ GUSTAVO</t>
  </si>
  <si>
    <t>4271850389</t>
  </si>
  <si>
    <t>22MMS0256S</t>
  </si>
  <si>
    <t>CENTRO DE BACHILLERATO TECNOLÓGICO AGROPECUARIO NO. 326, EN EL CAZADERO, QUERÉTARO</t>
  </si>
  <si>
    <t>22DTA0001U</t>
  </si>
  <si>
    <t>EL LINDERO</t>
  </si>
  <si>
    <t>NINGUNO CAMINO AL MORAL</t>
  </si>
  <si>
    <t>BASALDUA SUÁREZ JOSE FRANCISCO</t>
  </si>
  <si>
    <t>4192920213</t>
  </si>
  <si>
    <t>22MMS0015U</t>
  </si>
  <si>
    <t>CENTRO DE BACHILLERATO TECNOLOGICO AGROPECUARIO NUM. 115</t>
  </si>
  <si>
    <t>22DTA0003S</t>
  </si>
  <si>
    <t>20 DE ENERO</t>
  </si>
  <si>
    <t>LARA ESPINO ALEJANDRO</t>
  </si>
  <si>
    <t>4482751792</t>
  </si>
  <si>
    <t>22MMS0016T</t>
  </si>
  <si>
    <t>CENTRO DE BACHILLERATO TECNOLOGICO AGROPECUARIO NUM. 256</t>
  </si>
  <si>
    <t>22DTA0256V</t>
  </si>
  <si>
    <t>PUERTO DE AMOLES</t>
  </si>
  <si>
    <t>PUERTO DE LOS AMOLES</t>
  </si>
  <si>
    <t>CALLE CAMINO A LOS EPAZOTITOS</t>
  </si>
  <si>
    <t>OSORNIO PEREZ ISAAC</t>
  </si>
  <si>
    <t>22MMS0077G</t>
  </si>
  <si>
    <t>COLEGIO DE ESTUDIOS CIENTIFICOS Y TECNOLOGICOS DEL ESTADO DE QUERETARO NUM. 84 PLANTEL PINAL DE AMOL</t>
  </si>
  <si>
    <t>22ETC0001R</t>
  </si>
  <si>
    <t>CALLE JOSÉ GUADALUPE MORALES FRANCO</t>
  </si>
  <si>
    <t>ZAMORANO ESTRADA JULIÁN GUILLERMO</t>
  </si>
  <si>
    <t>4482785343</t>
  </si>
  <si>
    <t>22MMS0078F</t>
  </si>
  <si>
    <t>COLEGIO DE ESTUDIOS CIENTIFICOS Y TECNOLOGICOS DEL ESTADO DE QUERETARO NUM. 82 PLANTEL HUIMILPAN</t>
  </si>
  <si>
    <t>22ETC0002Q</t>
  </si>
  <si>
    <t>BOULEVARD TEODULO PIÑA</t>
  </si>
  <si>
    <t>PRADO SÁNCHEZ ARTURO</t>
  </si>
  <si>
    <t>4482751539</t>
  </si>
  <si>
    <t>22MMS0079E</t>
  </si>
  <si>
    <t>COLEGIO DE ESTUDIOS CIENTIFICOS Y TECNOLOGICOS DEL ESTADO DE QUERETARO NUM. 83 PLANTEL PEDRO ESCOBED</t>
  </si>
  <si>
    <t>22ETC0003P</t>
  </si>
  <si>
    <t>EL SOTANO</t>
  </si>
  <si>
    <t>AVENIDA DEL MAGISTERIO</t>
  </si>
  <si>
    <t>LOPEZ SAAVEDRA JUAN CARLOS</t>
  </si>
  <si>
    <t>4423009917</t>
  </si>
  <si>
    <t>22MMS0080U</t>
  </si>
  <si>
    <t>COLEGIO DE ESTUDIOS CIENTIFICOS Y TECNOLOGICOS DEL ESTADO DE QUERETARO NUM. 85 PLANTEL PEÑAMILLER</t>
  </si>
  <si>
    <t>22ETC0004O</t>
  </si>
  <si>
    <t>CERRITO COLORADO 4A. SECCION</t>
  </si>
  <si>
    <t>CALLE KILIWAS</t>
  </si>
  <si>
    <t>NIETO HERNANDEZ LUZ GRISELDA</t>
  </si>
  <si>
    <t>4422600443</t>
  </si>
  <si>
    <t>22MMS0081T</t>
  </si>
  <si>
    <t>COLEGIO DE ESTUDIOS CIENTIFICOS Y TECNOLOGICOS DEL ESTADO DE QUERETARO PLANTEL QUERETARO</t>
  </si>
  <si>
    <t>22ETC0005N</t>
  </si>
  <si>
    <t>CANDILES</t>
  </si>
  <si>
    <t>AVENIDA CANDILES</t>
  </si>
  <si>
    <t>RODRIGUEZ ZUÑIGA SERGIO</t>
  </si>
  <si>
    <t>4421350214</t>
  </si>
  <si>
    <t>22MMS0082S</t>
  </si>
  <si>
    <t>COLEGIO DE ESTUDIOS CIENTIFICOS Y TECNOLOGICOS DEL ESTADO DE QUERETARO NUM. 6 CORREGIDORA</t>
  </si>
  <si>
    <t>22ETC0006M</t>
  </si>
  <si>
    <t>LA ESTANCIA</t>
  </si>
  <si>
    <t>AVENIDA LAS TORRES</t>
  </si>
  <si>
    <t>DOMÍNGUEZ TINOCO ALBERTO</t>
  </si>
  <si>
    <t>22MMS0083R</t>
  </si>
  <si>
    <t>COLEGIO DE ESTUDIOS CIENTIFICOS Y TECNOLOGICOS DEL ESTADO DE QUERETARO NUM. 7 PLANTEL SAN JUAN DEL R</t>
  </si>
  <si>
    <t>22ETC0007L</t>
  </si>
  <si>
    <t>JARDÍNES DE SAN JOSÉ</t>
  </si>
  <si>
    <t>AVENIDA PASEO DE LAS MORAS</t>
  </si>
  <si>
    <t>VALERIO SALGADO ALFONSO ANGEL</t>
  </si>
  <si>
    <t>4421939619</t>
  </si>
  <si>
    <t>22MMS0084Q</t>
  </si>
  <si>
    <t>COLEGIO DE ESTUDIOS CIENTIFICOS Y TECNOLOGICOS DEL ESTADO DE QUERETARO NUM. 8 PLANTEL MENCHACA</t>
  </si>
  <si>
    <t>22ETC0008K</t>
  </si>
  <si>
    <t>HACIENDA SANTA ROSA [FRACCIONAMIENTO]</t>
  </si>
  <si>
    <t>HACIENDA SANTA ROSA</t>
  </si>
  <si>
    <t>CALLE HACIENDA DEL TESORO</t>
  </si>
  <si>
    <t>QUIROGA DÍAZ ANDRÉS</t>
  </si>
  <si>
    <t>4426282916</t>
  </si>
  <si>
    <t>22MMS0085P</t>
  </si>
  <si>
    <t>COLEGIO DE ESTUDIOS CIENTIFICOS Y TECNOLOGICOS DEL ESTADO DE QUERETARO NUM. 9 PLANTEL MONTENEGRO</t>
  </si>
  <si>
    <t>22ETC0009J</t>
  </si>
  <si>
    <t>ESPERANZA</t>
  </si>
  <si>
    <t>NUEVA ESPERAZA</t>
  </si>
  <si>
    <t>CALLE ZARAGOZA</t>
  </si>
  <si>
    <t>HERNANDEZ SALINAS RAÚL FANNY</t>
  </si>
  <si>
    <t>22MMS0086O</t>
  </si>
  <si>
    <t>COLEGIO DE ESTUDIOS CIENTIFICOS Y TECNOLOGICOS DEL ESTADO DE QUERETARO NUM. 10 PLANTEL LA ESPERANZA</t>
  </si>
  <si>
    <t>22ETC0010Z</t>
  </si>
  <si>
    <t>LA TINAJA DE LA ESTANCIA</t>
  </si>
  <si>
    <t>COMUNIDAD LA TINAJA DE LA ESTANCIA</t>
  </si>
  <si>
    <t>NINGUNO CARRETERA MOMPANI-TINAJA</t>
  </si>
  <si>
    <t>RAMIREZ GONZALEZ LUIS</t>
  </si>
  <si>
    <t>22MMS0087N</t>
  </si>
  <si>
    <t>COLEGIO DE ESTUDIOS CIENTIFICOS Y TECNOLOGICOS DEL ESTADO DE QUERETARO NUM. 11 PLANTEL LA TINAJA DE</t>
  </si>
  <si>
    <t>22ETC0011Y</t>
  </si>
  <si>
    <t>PASO DE MATA</t>
  </si>
  <si>
    <t>AVENIDA REFORMA</t>
  </si>
  <si>
    <t>PEREZ SAUCEDO LUIS</t>
  </si>
  <si>
    <t>22MMS0088M</t>
  </si>
  <si>
    <t>COLEGIO DE ESTUDIOS CIENTIFICOS Y TECNOLOGICOS DEL ESTADO DE QUERETARO NUM. 12 PLANTEL PASO DE MATA</t>
  </si>
  <si>
    <t>22ETC0012X</t>
  </si>
  <si>
    <t>AVENIDA IGNACIO ZARAGOZA</t>
  </si>
  <si>
    <t>SOTO CHÁVEZ JOSÉ</t>
  </si>
  <si>
    <t>4422142370</t>
  </si>
  <si>
    <t>22MMS0220D</t>
  </si>
  <si>
    <t>INSTITUTO CAMBRIDGE</t>
  </si>
  <si>
    <t>22PCT0002W</t>
  </si>
  <si>
    <t>CALLE EZEQUIEL MONTES</t>
  </si>
  <si>
    <t>LUNA RODRIGUEZ ANA MARA</t>
  </si>
  <si>
    <t>4422244023</t>
  </si>
  <si>
    <t>22MMS0221C</t>
  </si>
  <si>
    <t>BACHILLERATO TECNOLOGICO INSTITUTO VASCO PLANTEL QUERETARO</t>
  </si>
  <si>
    <t>22PCT0004U</t>
  </si>
  <si>
    <t>CALLE JOSE MARIA MORELOS</t>
  </si>
  <si>
    <t>VERDUZCO TORRES MARGARITA</t>
  </si>
  <si>
    <t>4422242950</t>
  </si>
  <si>
    <t>22MMS0222B</t>
  </si>
  <si>
    <t>BACHILLERATO TECNOLOGICO DEL INSTITUTO DE ESTUDIOS TURISTICOS DEL CENTRO</t>
  </si>
  <si>
    <t>22PCT0005T</t>
  </si>
  <si>
    <t>SATELITE</t>
  </si>
  <si>
    <t>CENTURION SEDGLACH MYRNA TERESA</t>
  </si>
  <si>
    <t>4422187254</t>
  </si>
  <si>
    <t>22MMS0223A</t>
  </si>
  <si>
    <t>INSTITUTO COMERCIAL IMEC</t>
  </si>
  <si>
    <t>22PCT0008Q</t>
  </si>
  <si>
    <t>CALLE ALTAMIRANO</t>
  </si>
  <si>
    <t>SOTO PEREZ EZEQUIEL</t>
  </si>
  <si>
    <t>4422243328</t>
  </si>
  <si>
    <t>22MMS0225Z</t>
  </si>
  <si>
    <t>INSTITUTO SOCIAL COMERCIAL EN CONTADURIA ADMINISTRATIVA</t>
  </si>
  <si>
    <t>22PCT0010E</t>
  </si>
  <si>
    <t>SOTO HERNÁNDEZ THANIA MARGARITA</t>
  </si>
  <si>
    <t>22PCT0012C</t>
  </si>
  <si>
    <t>CALLE HERLINDA GARCIA</t>
  </si>
  <si>
    <t>HERNÁNDEZ ZUÑIGA SILVIA</t>
  </si>
  <si>
    <t>4482750002</t>
  </si>
  <si>
    <t>22MMS0226Y</t>
  </si>
  <si>
    <t>22PCT0013B</t>
  </si>
  <si>
    <t>CALLE INVIERNO</t>
  </si>
  <si>
    <t>SOTO HERNÃNDEZ EZEQUIEL</t>
  </si>
  <si>
    <t>4422126702</t>
  </si>
  <si>
    <t>22MMS0227X</t>
  </si>
  <si>
    <t>CONJUNTO EDUCATIVO SOCIAL COMERCIAL ADMINISTRATIVO, A. C.</t>
  </si>
  <si>
    <t>22PCT0014A</t>
  </si>
  <si>
    <t>AVENIDA JUAREZ ORIENTE</t>
  </si>
  <si>
    <t>DE JESÚS RIVAS ROBERTO</t>
  </si>
  <si>
    <t>4272723367</t>
  </si>
  <si>
    <t>22MMS0228W</t>
  </si>
  <si>
    <t>INSTITUTO PROFESIONAL DE INFORMATICA Y COMPUTACION</t>
  </si>
  <si>
    <t>22PCT0015Z</t>
  </si>
  <si>
    <t>ARRIAGA LÓPEZ VIRGINIA HORTENSIA</t>
  </si>
  <si>
    <t>4424918822</t>
  </si>
  <si>
    <t>22MMS0229V</t>
  </si>
  <si>
    <t>INSTITUTO SOCIAL EDUCATIVO COMERCIAL ADMINISTRATIVO</t>
  </si>
  <si>
    <t>22PCT0016Z</t>
  </si>
  <si>
    <t>CALLE PASEO DE LAS PEÑAS</t>
  </si>
  <si>
    <t>CORTES AGUILAR CARLOS</t>
  </si>
  <si>
    <t>4422187375</t>
  </si>
  <si>
    <t>22MMS0231J</t>
  </si>
  <si>
    <t>INSTITUTO REMBRANDT</t>
  </si>
  <si>
    <t>22PCT0022J</t>
  </si>
  <si>
    <t>4425718115</t>
  </si>
  <si>
    <t>22MMS0232I</t>
  </si>
  <si>
    <t>CENTRO CULTURAL FRAY JUNIPERO SERRA</t>
  </si>
  <si>
    <t>22PCT0023I</t>
  </si>
  <si>
    <t>VISTA ALEGRE</t>
  </si>
  <si>
    <t>CIRCUITO MOISES SOLANA</t>
  </si>
  <si>
    <t>ROMERO GRANADOS RICHARD</t>
  </si>
  <si>
    <t>4426617293</t>
  </si>
  <si>
    <t>22MMS0233H</t>
  </si>
  <si>
    <t>BACHILLERATO TECNOLOGICO GRUPO ISIMA, PLANTEL QUERETARO</t>
  </si>
  <si>
    <t>22PCT0028D</t>
  </si>
  <si>
    <t>AVENIDA DEL SOMBRERETE</t>
  </si>
  <si>
    <t>PULIDO JUAREZ YOLANDA EDITH</t>
  </si>
  <si>
    <t>4421959407</t>
  </si>
  <si>
    <t>22MMS0234G</t>
  </si>
  <si>
    <t>COLEGIO DE ESTUDIOS PROFESIONALES LAUSANNE</t>
  </si>
  <si>
    <t>22PCT0030S</t>
  </si>
  <si>
    <t>RUIZ BAUTISTA JORGE ARTURO</t>
  </si>
  <si>
    <t>22PCT0031R</t>
  </si>
  <si>
    <t>CONTINUO</t>
  </si>
  <si>
    <t>CALLE 16 DE SEPTIEMBRE ORIENTE</t>
  </si>
  <si>
    <t>4422122817</t>
  </si>
  <si>
    <t>22MMS0235F</t>
  </si>
  <si>
    <t>BACHILLERATO TECNOLOGICO DEL INSTITUTO JUAREZ LINCOLN</t>
  </si>
  <si>
    <t>22PCT0034O</t>
  </si>
  <si>
    <t>INDUSTRIAL SAN PEDRITO PEÑUELAS</t>
  </si>
  <si>
    <t>AVENIDA PEÑUELAS</t>
  </si>
  <si>
    <t>PEREZ GUERRERO HUMBERTO</t>
  </si>
  <si>
    <t>4429620202</t>
  </si>
  <si>
    <t>2040</t>
  </si>
  <si>
    <t>22MMS0236E</t>
  </si>
  <si>
    <t>BACHILLERATO TECNOLOGICO DE LA UNIVERSIDAD INTERNACIONAL DE QUERETARO</t>
  </si>
  <si>
    <t>22PCT0035N</t>
  </si>
  <si>
    <t>MUÑIZ MONTAÑEZ KARLA IVONNE</t>
  </si>
  <si>
    <t>4422481192</t>
  </si>
  <si>
    <t>22MMS0237D</t>
  </si>
  <si>
    <t>BACHILLERATO TECNOLOGICO DEL INSTITUTO UNI DE QUERETARO</t>
  </si>
  <si>
    <t>22PCT0036M</t>
  </si>
  <si>
    <t>SAN PABLO V</t>
  </si>
  <si>
    <t>RIVERA RODRIGUEZ AMNEL VIDAL</t>
  </si>
  <si>
    <t>4423263247</t>
  </si>
  <si>
    <t>22MMS0269W</t>
  </si>
  <si>
    <t>INSTITUTO QUERETANO DE HERRAMENTALES</t>
  </si>
  <si>
    <t>22PCT0038K</t>
  </si>
  <si>
    <t>CALLE IGNACIO LOPEZ RAYON</t>
  </si>
  <si>
    <t>GUERRERO MENDOZA CLAUDIA</t>
  </si>
  <si>
    <t>4272721271</t>
  </si>
  <si>
    <t>22MMS0238C</t>
  </si>
  <si>
    <t>ESCUELA DE ASISTENTES EDUCATIVOS CHIQUITINES, A. C.</t>
  </si>
  <si>
    <t>22PET0011B</t>
  </si>
  <si>
    <t>DE LA VEGA NAVARRO ROSA MARIA</t>
  </si>
  <si>
    <t>4422240557</t>
  </si>
  <si>
    <t>22MMS0241Q</t>
  </si>
  <si>
    <t>CENTRO DE FORMACION DE RECURSOS DE ENFERMERIA DE QUERETARO, A.C.</t>
  </si>
  <si>
    <t>22PET0024F</t>
  </si>
  <si>
    <t>LA CAPILLA</t>
  </si>
  <si>
    <t>CALLE CARRETERA A TLACOTE</t>
  </si>
  <si>
    <t>OLVERA ESTRADA GPE. MARTHA OTILIA</t>
  </si>
  <si>
    <t>4422156244</t>
  </si>
  <si>
    <t>22MMS0146M</t>
  </si>
  <si>
    <t>COLEGIO DIEGO OLVERA ESTRADA</t>
  </si>
  <si>
    <t>22PBH0037R</t>
  </si>
  <si>
    <t>YONG BETANCOURT LUIS ANTONIO</t>
  </si>
  <si>
    <t>4428046006</t>
  </si>
  <si>
    <t>CABRERA MONROY ALVARO RAFAEL</t>
  </si>
  <si>
    <t>4272725765</t>
  </si>
  <si>
    <t>22MMS0181S</t>
  </si>
  <si>
    <t>INSTITUTO DE ESTUDIOS SOCIALES Y ADMINISTRATIVOS DE QUERETARO</t>
  </si>
  <si>
    <t>22PBH0079Q</t>
  </si>
  <si>
    <t>CALLE FERNANDO DE TAPIA</t>
  </si>
  <si>
    <t>22PBH0108V</t>
  </si>
  <si>
    <t>PREPARATORIA DEL COLEGIO SALESIANO QUERETARO</t>
  </si>
  <si>
    <t>Colinas Del Santuario</t>
  </si>
  <si>
    <t>AVENIDA VALLENDAR</t>
  </si>
  <si>
    <t>ORTIZ MEDINA ANDREA</t>
  </si>
  <si>
    <t>4422719446</t>
  </si>
  <si>
    <t>22MMS0279C</t>
  </si>
  <si>
    <t>PREPARATORIA EMPRENDE INNOVA</t>
  </si>
  <si>
    <t>22PBH0109U</t>
  </si>
  <si>
    <t>CENTRO DEL COLORADO</t>
  </si>
  <si>
    <t>CALLE J. GERARDO CORONEL HERRERA</t>
  </si>
  <si>
    <t>AGUILAR RANGEL EUSTAQUIO EFRAIN</t>
  </si>
  <si>
    <t>4423603628</t>
  </si>
  <si>
    <t>22MMS0280S</t>
  </si>
  <si>
    <t>LICEO PATRICK HENRY PREPARATORIA</t>
  </si>
  <si>
    <t>22PBH0111I</t>
  </si>
  <si>
    <t>NINGUNO CARRETERA SAN JUAN DEL RIO - AMEALCO</t>
  </si>
  <si>
    <t>ROMERO SERRANO SERGIO</t>
  </si>
  <si>
    <t>22MMS0281R</t>
  </si>
  <si>
    <t>COLEGIO DE CIENCIAS Y HUMANIDADES DE QUERETARO</t>
  </si>
  <si>
    <t>22PBH0112H</t>
  </si>
  <si>
    <t>EL FORTIN</t>
  </si>
  <si>
    <t>PROLONGACIÓN CHABACANO</t>
  </si>
  <si>
    <t>MONTIEL MURI LUZ MARIA ELIZABETH</t>
  </si>
  <si>
    <t>4429019669</t>
  </si>
  <si>
    <t>22MMS0282Q</t>
  </si>
  <si>
    <t>BUCKINGHAM HIGH SCHOOL</t>
  </si>
  <si>
    <t>22PBH0113G</t>
  </si>
  <si>
    <t>VALENCIA MIRANDA MARIA DE LOURDES</t>
  </si>
  <si>
    <t>4412760460</t>
  </si>
  <si>
    <t>22MMS0283P</t>
  </si>
  <si>
    <t>ACADEMIA CASA HOGAR SOR JUANA INÉS DE LA CRUZ A.C.</t>
  </si>
  <si>
    <t>22PBH0114F</t>
  </si>
  <si>
    <t>EL SALITRE</t>
  </si>
  <si>
    <t>CALLE PALMA DATILERA</t>
  </si>
  <si>
    <t>VALLE FIDALGO RODRIGO</t>
  </si>
  <si>
    <t>4421990994</t>
  </si>
  <si>
    <t>22MMS0284O</t>
  </si>
  <si>
    <t>COLEGIO DEL TEPEYAC, QUERETARO</t>
  </si>
  <si>
    <t>22PBH0115E</t>
  </si>
  <si>
    <t>LA PRADERA</t>
  </si>
  <si>
    <t>NINGUNO NINGUNO</t>
  </si>
  <si>
    <t>ROSAS CONEJO GEORGINA</t>
  </si>
  <si>
    <t>4423573315</t>
  </si>
  <si>
    <t>22MMS0285N</t>
  </si>
  <si>
    <t>LYCEE FRANCAIS INTERNATIONAL JULES VERNE SECCION PREPARATORIA</t>
  </si>
  <si>
    <t>22PBH0116D</t>
  </si>
  <si>
    <t>PROLONGACIÓN CORREGIDORA NORTE</t>
  </si>
  <si>
    <t>CALLE ACCESO AL CAMPO MILITAR 2-A</t>
  </si>
  <si>
    <t>BRIBIESCA ELIAS RENE</t>
  </si>
  <si>
    <t>4422159008</t>
  </si>
  <si>
    <t>22MMS0213U</t>
  </si>
  <si>
    <t>PREPARATORIA LA CIMA</t>
  </si>
  <si>
    <t>22PBH3871K</t>
  </si>
  <si>
    <t>5001</t>
  </si>
  <si>
    <t>22UBH0016Q</t>
  </si>
  <si>
    <t>ESCUELA DE BACHILLERES DE LA UAQ, MODALIDAD MIXTA</t>
  </si>
  <si>
    <t>SAN CAYETANO 3A. SECCIÓN</t>
  </si>
  <si>
    <t>IBARRA GARDUÑO MARTHA GUADALUPE</t>
  </si>
  <si>
    <t>4272741980</t>
  </si>
  <si>
    <t>22MMS0007L</t>
  </si>
  <si>
    <t>CAED SAN JUAN DEL RIO</t>
  </si>
  <si>
    <t>22DER0001B</t>
  </si>
  <si>
    <t>LAS HADAS</t>
  </si>
  <si>
    <t>GUTIÉREZ SOLÍS. MARIA DOLORES</t>
  </si>
  <si>
    <t>4422140520</t>
  </si>
  <si>
    <t>22MMS0294V</t>
  </si>
  <si>
    <t>CAED CECATI 17</t>
  </si>
  <si>
    <t>22DER0004Z</t>
  </si>
  <si>
    <t>CALLE MARTE .</t>
  </si>
  <si>
    <t>SANCHEZ MARTINEZ GLADYS</t>
  </si>
  <si>
    <t>4423500684</t>
  </si>
  <si>
    <t>22MMS0295U</t>
  </si>
  <si>
    <t>CAED CECATI 175</t>
  </si>
  <si>
    <t>22DER0005Y</t>
  </si>
  <si>
    <t>OROZCO RAMÍREZ MARCO ANTONIO</t>
  </si>
  <si>
    <t>4422482869</t>
  </si>
  <si>
    <t>22MMS0010Z</t>
  </si>
  <si>
    <t>COORDINACION DE PREPARATORIA ABIERTA</t>
  </si>
  <si>
    <t>22EEX0001L</t>
  </si>
  <si>
    <t>SANTA MARTHA FRACCION DE LA TRINIDAD</t>
  </si>
  <si>
    <t>MAGAÑA FIGUEROA LOURDES MINERVA</t>
  </si>
  <si>
    <t>442-980-2592</t>
  </si>
  <si>
    <t>2003</t>
  </si>
  <si>
    <t>22MMS0286M</t>
  </si>
  <si>
    <t>PREPA CEICKOR</t>
  </si>
  <si>
    <t>22PBH0118B</t>
  </si>
  <si>
    <t>FUENTES Y PUEBLO NUEVO</t>
  </si>
  <si>
    <t>CALLE H. COLEGIO MILITAR</t>
  </si>
  <si>
    <t>TURBI DE LOS SANTOS JOVINA</t>
  </si>
  <si>
    <t>4412760314</t>
  </si>
  <si>
    <t>22MMS0287L</t>
  </si>
  <si>
    <t>PREPARATORIA CENTRO ESCOLAR CADEREYTA</t>
  </si>
  <si>
    <t>22PBH0119A</t>
  </si>
  <si>
    <t>CALLE PALMA SOLA</t>
  </si>
  <si>
    <t>MONTES ACOSTA ALMA</t>
  </si>
  <si>
    <t>4426284943</t>
  </si>
  <si>
    <t>22MMS0288K</t>
  </si>
  <si>
    <t>PREPA BALMORAL ESCOCÉS</t>
  </si>
  <si>
    <t>22PBH0120Q</t>
  </si>
  <si>
    <t>SALDARRIAGA</t>
  </si>
  <si>
    <t>AVENIDA ANILLO VIAL 3 PONIENTE</t>
  </si>
  <si>
    <t>ALVARADO HIERRO ARTURO</t>
  </si>
  <si>
    <t>4424021000</t>
  </si>
  <si>
    <t>1500</t>
  </si>
  <si>
    <t>22MMS0289J</t>
  </si>
  <si>
    <t>UNIVERSIDAD MONDRAGÓN MÉXICO</t>
  </si>
  <si>
    <t>22PBH0121P</t>
  </si>
  <si>
    <t>SAN CAYETANO</t>
  </si>
  <si>
    <t>CALLE RIO CONCA</t>
  </si>
  <si>
    <t>SALINAS CRUZ MIGUEL ANGEL</t>
  </si>
  <si>
    <t>4272745374</t>
  </si>
  <si>
    <t>22MMS0290Z</t>
  </si>
  <si>
    <t>CEDVA PREPARATORIA</t>
  </si>
  <si>
    <t>22PBH0122O</t>
  </si>
  <si>
    <t>MEXICO</t>
  </si>
  <si>
    <t>CALLE OAXACA</t>
  </si>
  <si>
    <t>FLORES HERNÁNDEZ ELSA NELLY</t>
  </si>
  <si>
    <t>4423201512</t>
  </si>
  <si>
    <t>22MMS0293W</t>
  </si>
  <si>
    <t>CENTRO DE ESTUDIOS MEDIO SUPERIORES Y SUPERIORES</t>
  </si>
  <si>
    <t>22PBH0124M</t>
  </si>
  <si>
    <t>JARDINES DE LA HACIENDA</t>
  </si>
  <si>
    <t>CALLE HACIENDA BUENAVISTA</t>
  </si>
  <si>
    <t>AGUILAR HERNANDEZ SALOMON</t>
  </si>
  <si>
    <t>4422169669</t>
  </si>
  <si>
    <t>108</t>
  </si>
  <si>
    <t>22MMS0297S</t>
  </si>
  <si>
    <t>CENTRO DE EDUCACIÓN Y FORMACIÓN JAMADI</t>
  </si>
  <si>
    <t>22PBH0127J</t>
  </si>
  <si>
    <t>PARQUES INDUSTRIALES ALAMOS 2a SECCIÓN</t>
  </si>
  <si>
    <t>CALLE MANUFACTURA</t>
  </si>
  <si>
    <t>EGGERS CUELLAR KARLA</t>
  </si>
  <si>
    <t>4425389999</t>
  </si>
  <si>
    <t>22MMS0299Q</t>
  </si>
  <si>
    <t>COLEGIO HOLANDÉS DE QUERÉTARO</t>
  </si>
  <si>
    <t>22PBH0129H</t>
  </si>
  <si>
    <t>LAS TROJES</t>
  </si>
  <si>
    <t>CALLE TROJE DE CAMPO ALEGRE</t>
  </si>
  <si>
    <t>PEREZ VIRAMONTES JORGE</t>
  </si>
  <si>
    <t>22MMS0301O</t>
  </si>
  <si>
    <t>PREPA CAV</t>
  </si>
  <si>
    <t>22PBH0130X</t>
  </si>
  <si>
    <t>4422111900</t>
  </si>
  <si>
    <t>11141</t>
  </si>
  <si>
    <t>22PBH0131W</t>
  </si>
  <si>
    <t>UNIVERSIDAD DEL VALLE DE MEXICO, CAMPUS QUERÉTARO</t>
  </si>
  <si>
    <t>LA TRASQUILA</t>
  </si>
  <si>
    <t>3136</t>
  </si>
  <si>
    <t>22MMS0291Y</t>
  </si>
  <si>
    <t>ESCUELA DE BACHILLERES DE LA UAQ, PLANTEL HUIMILPAN</t>
  </si>
  <si>
    <t>22UBH0017P</t>
  </si>
  <si>
    <t>(Incluye únicamente escuelas activas en ciclo 2023-2024 con matrícula y existencia en ciclo 2022-2023)</t>
  </si>
  <si>
    <t xml:space="preserve">Para información a Total por nivel educativo y municipio, consulte "Resumen Indicadores de Eficiencia Educativa Fin de Ciclo 2022-2023 TOTAL ESTATAL" </t>
  </si>
  <si>
    <t>BACHILLERATO TECNOLÓGICO (BIVALENTE)</t>
  </si>
  <si>
    <t>PROFESIONAL TÉCNICO (TERMINAL)</t>
  </si>
  <si>
    <t>PROFESIONAL TÉCNICO BACHILLER (BIVALENTE)</t>
  </si>
  <si>
    <t>COEF. DE EGRESIÓN</t>
  </si>
  <si>
    <t>-</t>
  </si>
  <si>
    <t>REPROBACIÓN (sin regularizar)</t>
  </si>
  <si>
    <t>EGRESIÓN  (incluye regularizados al 30 Sep)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</si>
</sst>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scheme val="minor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sz val="11"/>
      <name val="Calibri"/>
      <family val="2"/>
    </font>
    <font>
      <b/>
      <sz val="9"/>
      <color rgb="FFFFFFFF"/>
      <name val="Century Gothic"/>
      <family val="2"/>
    </font>
    <font>
      <b/>
      <sz val="9"/>
      <color theme="0"/>
      <name val="Century Gothic"/>
      <family val="2"/>
    </font>
    <font>
      <b/>
      <sz val="12"/>
      <color rgb="FFFF0000"/>
      <name val="Century Gothic"/>
      <family val="2"/>
    </font>
    <font>
      <b/>
      <i/>
      <sz val="8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Arial"/>
      <family val="2"/>
    </font>
    <font>
      <b/>
      <i/>
      <sz val="10"/>
      <color rgb="FF00B0F0"/>
      <name val="Century Gothic"/>
      <family val="2"/>
    </font>
    <font>
      <b/>
      <i/>
      <sz val="9"/>
      <color theme="1"/>
      <name val="Century Gothic"/>
      <family val="2"/>
    </font>
    <font>
      <b/>
      <sz val="9"/>
      <name val="Century Gothic"/>
      <family val="2"/>
    </font>
    <font>
      <sz val="9"/>
      <color theme="1"/>
      <name val="Century Gothic"/>
    </font>
  </fonts>
  <fills count="12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D0CECE"/>
        <bgColor rgb="FFD0CECE"/>
      </patternFill>
    </fill>
    <fill>
      <patternFill patternType="solid">
        <fgColor rgb="FFD9E2F3"/>
        <bgColor rgb="FFD9E2F3"/>
      </patternFill>
    </fill>
    <fill>
      <patternFill patternType="solid">
        <fgColor rgb="FF7F7F7F"/>
        <bgColor rgb="FF7F7F7F"/>
      </patternFill>
    </fill>
    <fill>
      <patternFill patternType="solid">
        <fgColor rgb="FF171616"/>
        <bgColor rgb="FF171616"/>
      </patternFill>
    </fill>
    <fill>
      <patternFill patternType="solid">
        <fgColor rgb="FF757070"/>
        <bgColor rgb="FF757070"/>
      </patternFill>
    </fill>
    <fill>
      <patternFill patternType="solid">
        <fgColor theme="8" tint="0.79998168889431442"/>
        <bgColor rgb="FF2F549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0000"/>
      </patternFill>
    </fill>
    <fill>
      <patternFill patternType="solid">
        <fgColor theme="0" tint="-0.14999847407452621"/>
        <bgColor rgb="FFD9E2F3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15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" fontId="2" fillId="4" borderId="5" xfId="0" applyNumberFormat="1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1" fontId="2" fillId="4" borderId="7" xfId="0" applyNumberFormat="1" applyFont="1" applyFill="1" applyBorder="1" applyAlignment="1">
      <alignment horizontal="center" vertical="center" wrapText="1"/>
    </xf>
    <xf numFmtId="1" fontId="2" fillId="4" borderId="8" xfId="0" applyNumberFormat="1" applyFont="1" applyFill="1" applyBorder="1" applyAlignment="1">
      <alignment horizontal="center" vertical="center" wrapText="1"/>
    </xf>
    <xf numFmtId="1" fontId="2" fillId="4" borderId="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1" fontId="2" fillId="4" borderId="8" xfId="0" applyNumberFormat="1" applyFont="1" applyFill="1" applyBorder="1" applyAlignment="1">
      <alignment horizontal="center" vertical="center"/>
    </xf>
    <xf numFmtId="1" fontId="2" fillId="4" borderId="23" xfId="0" applyNumberFormat="1" applyFont="1" applyFill="1" applyBorder="1" applyAlignment="1">
      <alignment horizontal="center" vertical="center" wrapText="1"/>
    </xf>
    <xf numFmtId="1" fontId="2" fillId="4" borderId="24" xfId="0" applyNumberFormat="1" applyFont="1" applyFill="1" applyBorder="1" applyAlignment="1">
      <alignment horizontal="center" vertical="center" wrapText="1"/>
    </xf>
    <xf numFmtId="1" fontId="2" fillId="4" borderId="23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4" borderId="24" xfId="0" applyNumberFormat="1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1" fontId="2" fillId="3" borderId="23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1" fontId="2" fillId="4" borderId="25" xfId="0" applyNumberFormat="1" applyFont="1" applyFill="1" applyBorder="1" applyAlignment="1">
      <alignment horizontal="center" vertical="center" wrapText="1"/>
    </xf>
    <xf numFmtId="1" fontId="2" fillId="4" borderId="26" xfId="0" applyNumberFormat="1" applyFont="1" applyFill="1" applyBorder="1" applyAlignment="1">
      <alignment horizontal="center" vertical="center" wrapText="1"/>
    </xf>
    <xf numFmtId="1" fontId="2" fillId="4" borderId="28" xfId="0" applyNumberFormat="1" applyFont="1" applyFill="1" applyBorder="1" applyAlignment="1">
      <alignment horizontal="center" vertical="center" wrapText="1"/>
    </xf>
    <xf numFmtId="1" fontId="2" fillId="3" borderId="30" xfId="0" applyNumberFormat="1" applyFont="1" applyFill="1" applyBorder="1" applyAlignment="1">
      <alignment horizontal="center" vertical="center" wrapText="1"/>
    </xf>
    <xf numFmtId="1" fontId="2" fillId="3" borderId="31" xfId="0" applyNumberFormat="1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 applyFill="1"/>
    <xf numFmtId="0" fontId="0" fillId="0" borderId="0" xfId="0" applyFill="1"/>
    <xf numFmtId="0" fontId="10" fillId="0" borderId="15" xfId="1" applyFont="1"/>
    <xf numFmtId="0" fontId="1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3" borderId="40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right"/>
    </xf>
    <xf numFmtId="0" fontId="2" fillId="0" borderId="0" xfId="0" applyFont="1" applyFill="1" applyAlignment="1">
      <alignment horizontal="right"/>
    </xf>
    <xf numFmtId="2" fontId="2" fillId="0" borderId="0" xfId="0" applyNumberFormat="1" applyFont="1" applyFill="1" applyAlignment="1">
      <alignment horizontal="right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19" xfId="0" applyNumberFormat="1" applyFont="1" applyFill="1" applyBorder="1" applyAlignment="1">
      <alignment horizontal="center" vertical="center"/>
    </xf>
    <xf numFmtId="1" fontId="5" fillId="2" borderId="7" xfId="0" applyNumberFormat="1" applyFont="1" applyFill="1" applyBorder="1" applyAlignment="1">
      <alignment horizontal="center" vertical="center"/>
    </xf>
    <xf numFmtId="1" fontId="4" fillId="5" borderId="36" xfId="0" applyNumberFormat="1" applyFont="1" applyFill="1" applyBorder="1" applyAlignment="1">
      <alignment horizontal="center" vertical="center" wrapText="1"/>
    </xf>
    <xf numFmtId="0" fontId="3" fillId="0" borderId="34" xfId="0" applyFont="1" applyBorder="1"/>
    <xf numFmtId="0" fontId="3" fillId="0" borderId="37" xfId="0" applyFont="1" applyBorder="1"/>
    <xf numFmtId="1" fontId="5" fillId="7" borderId="16" xfId="0" applyNumberFormat="1" applyFont="1" applyFill="1" applyBorder="1" applyAlignment="1">
      <alignment horizontal="center" vertical="center" wrapText="1"/>
    </xf>
    <xf numFmtId="1" fontId="5" fillId="7" borderId="22" xfId="0" applyNumberFormat="1" applyFont="1" applyFill="1" applyBorder="1" applyAlignment="1">
      <alignment horizontal="center" vertical="center" wrapText="1"/>
    </xf>
    <xf numFmtId="1" fontId="5" fillId="7" borderId="21" xfId="0" applyNumberFormat="1" applyFont="1" applyFill="1" applyBorder="1" applyAlignment="1">
      <alignment horizontal="center" vertical="center" wrapText="1"/>
    </xf>
    <xf numFmtId="1" fontId="12" fillId="8" borderId="19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/>
    <xf numFmtId="0" fontId="3" fillId="9" borderId="3" xfId="0" applyFont="1" applyFill="1" applyBorder="1"/>
    <xf numFmtId="0" fontId="3" fillId="0" borderId="3" xfId="0" applyFont="1" applyBorder="1"/>
    <xf numFmtId="0" fontId="3" fillId="0" borderId="2" xfId="0" applyFont="1" applyBorder="1"/>
    <xf numFmtId="1" fontId="5" fillId="7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7" borderId="16" xfId="0" applyNumberFormat="1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1" fontId="4" fillId="2" borderId="19" xfId="0" applyNumberFormat="1" applyFont="1" applyFill="1" applyBorder="1" applyAlignment="1">
      <alignment horizontal="center" vertical="center"/>
    </xf>
    <xf numFmtId="1" fontId="12" fillId="8" borderId="1" xfId="0" applyNumberFormat="1" applyFont="1" applyFill="1" applyBorder="1" applyAlignment="1">
      <alignment horizontal="center" vertical="center" wrapText="1"/>
    </xf>
    <xf numFmtId="1" fontId="12" fillId="10" borderId="1" xfId="0" applyNumberFormat="1" applyFont="1" applyFill="1" applyBorder="1" applyAlignment="1">
      <alignment horizontal="center" vertical="center" wrapText="1"/>
    </xf>
    <xf numFmtId="1" fontId="4" fillId="5" borderId="33" xfId="0" applyNumberFormat="1" applyFont="1" applyFill="1" applyBorder="1" applyAlignment="1">
      <alignment horizontal="center" vertical="center" wrapText="1"/>
    </xf>
    <xf numFmtId="0" fontId="3" fillId="0" borderId="35" xfId="0" applyFont="1" applyBorder="1"/>
    <xf numFmtId="1" fontId="5" fillId="2" borderId="13" xfId="0" applyNumberFormat="1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4" xfId="0" applyFont="1" applyBorder="1"/>
    <xf numFmtId="1" fontId="2" fillId="4" borderId="20" xfId="0" applyNumberFormat="1" applyFont="1" applyFill="1" applyBorder="1" applyAlignment="1">
      <alignment horizontal="center" vertical="center" wrapText="1"/>
    </xf>
    <xf numFmtId="1" fontId="2" fillId="4" borderId="11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/>
    </xf>
    <xf numFmtId="1" fontId="2" fillId="4" borderId="9" xfId="0" applyNumberFormat="1" applyFont="1" applyFill="1" applyBorder="1" applyAlignment="1">
      <alignment horizontal="center" vertical="center"/>
    </xf>
    <xf numFmtId="1" fontId="2" fillId="3" borderId="39" xfId="0" applyNumberFormat="1" applyFont="1" applyFill="1" applyBorder="1" applyAlignment="1">
      <alignment horizontal="center" vertical="center" wrapText="1"/>
    </xf>
    <xf numFmtId="1" fontId="2" fillId="3" borderId="29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 wrapText="1"/>
    </xf>
    <xf numFmtId="1" fontId="2" fillId="4" borderId="9" xfId="0" applyNumberFormat="1" applyFont="1" applyFill="1" applyBorder="1" applyAlignment="1">
      <alignment horizontal="center" vertical="center" wrapText="1"/>
    </xf>
    <xf numFmtId="1" fontId="2" fillId="4" borderId="38" xfId="0" applyNumberFormat="1" applyFont="1" applyFill="1" applyBorder="1" applyAlignment="1">
      <alignment horizontal="center" vertical="center"/>
    </xf>
    <xf numFmtId="1" fontId="2" fillId="4" borderId="32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3" fillId="0" borderId="12" xfId="0" applyFont="1" applyBorder="1"/>
    <xf numFmtId="1" fontId="5" fillId="6" borderId="1" xfId="0" applyNumberFormat="1" applyFont="1" applyFill="1" applyBorder="1" applyAlignment="1">
      <alignment horizontal="center" vertical="center"/>
    </xf>
    <xf numFmtId="0" fontId="3" fillId="0" borderId="19" xfId="0" applyFont="1" applyBorder="1"/>
    <xf numFmtId="1" fontId="5" fillId="7" borderId="1" xfId="0" applyNumberFormat="1" applyFont="1" applyFill="1" applyBorder="1" applyAlignment="1">
      <alignment horizontal="center" vertical="center" wrapText="1"/>
    </xf>
    <xf numFmtId="1" fontId="5" fillId="7" borderId="19" xfId="0" applyNumberFormat="1" applyFont="1" applyFill="1" applyBorder="1" applyAlignment="1">
      <alignment horizontal="center" vertical="center" wrapText="1"/>
    </xf>
    <xf numFmtId="1" fontId="5" fillId="7" borderId="7" xfId="0" applyNumberFormat="1" applyFont="1" applyFill="1" applyBorder="1" applyAlignment="1">
      <alignment horizontal="center" vertical="center" wrapText="1"/>
    </xf>
    <xf numFmtId="1" fontId="13" fillId="11" borderId="20" xfId="0" applyNumberFormat="1" applyFont="1" applyFill="1" applyBorder="1" applyAlignment="1">
      <alignment horizontal="center" vertical="center" wrapText="1"/>
    </xf>
    <xf numFmtId="1" fontId="13" fillId="11" borderId="4" xfId="0" applyNumberFormat="1" applyFont="1" applyFill="1" applyBorder="1" applyAlignment="1">
      <alignment horizontal="center" vertical="center"/>
    </xf>
    <xf numFmtId="1" fontId="13" fillId="11" borderId="4" xfId="0" applyNumberFormat="1" applyFont="1" applyFill="1" applyBorder="1" applyAlignment="1">
      <alignment horizontal="center" vertical="center" wrapText="1"/>
    </xf>
    <xf numFmtId="1" fontId="13" fillId="11" borderId="27" xfId="0" applyNumberFormat="1" applyFont="1" applyFill="1" applyBorder="1" applyAlignment="1">
      <alignment horizontal="center" vertical="center"/>
    </xf>
    <xf numFmtId="1" fontId="13" fillId="11" borderId="11" xfId="0" applyNumberFormat="1" applyFont="1" applyFill="1" applyBorder="1" applyAlignment="1">
      <alignment horizontal="center" vertical="center" wrapText="1"/>
    </xf>
    <xf numFmtId="1" fontId="13" fillId="11" borderId="9" xfId="0" applyNumberFormat="1" applyFont="1" applyFill="1" applyBorder="1" applyAlignment="1">
      <alignment horizontal="center" vertical="center"/>
    </xf>
    <xf numFmtId="1" fontId="13" fillId="11" borderId="9" xfId="0" applyNumberFormat="1" applyFont="1" applyFill="1" applyBorder="1" applyAlignment="1">
      <alignment horizontal="center" vertical="center" wrapText="1"/>
    </xf>
    <xf numFmtId="1" fontId="13" fillId="11" borderId="10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70"/>
  <sheetViews>
    <sheetView tabSelected="1" workbookViewId="0">
      <selection activeCell="BK14" sqref="BK14"/>
    </sheetView>
  </sheetViews>
  <sheetFormatPr baseColWidth="10" defaultColWidth="14.42578125" defaultRowHeight="15" x14ac:dyDescent="0.25"/>
  <cols>
    <col min="1" max="1" width="13.140625" customWidth="1"/>
    <col min="2" max="2" width="26.42578125" bestFit="1" customWidth="1"/>
    <col min="3" max="3" width="52.85546875" customWidth="1"/>
    <col min="4" max="4" width="13.5703125" customWidth="1"/>
    <col min="5" max="5" width="22.7109375" customWidth="1"/>
    <col min="6" max="6" width="48.140625" customWidth="1"/>
    <col min="7" max="7" width="15.5703125" customWidth="1"/>
    <col min="8" max="8" width="18.28515625" customWidth="1"/>
    <col min="9" max="9" width="21.5703125" customWidth="1"/>
    <col min="10" max="10" width="40" customWidth="1"/>
    <col min="11" max="11" width="44.28515625" customWidth="1"/>
    <col min="12" max="12" width="57.28515625" customWidth="1"/>
    <col min="13" max="13" width="17.7109375" customWidth="1"/>
    <col min="14" max="14" width="46.42578125" customWidth="1"/>
    <col min="15" max="15" width="13.85546875" customWidth="1"/>
    <col min="16" max="16" width="14.42578125" bestFit="1" customWidth="1"/>
    <col min="17" max="17" width="13" customWidth="1"/>
    <col min="18" max="18" width="14.140625" customWidth="1"/>
    <col min="19" max="19" width="18.42578125" customWidth="1"/>
    <col min="20" max="20" width="99.5703125" customWidth="1"/>
    <col min="21" max="21" width="12.28515625" bestFit="1" customWidth="1"/>
    <col min="22" max="22" width="99.5703125" customWidth="1"/>
    <col min="23" max="23" width="12.7109375" customWidth="1"/>
    <col min="24" max="24" width="10.5703125" bestFit="1" customWidth="1"/>
    <col min="25" max="25" width="13.5703125" bestFit="1" customWidth="1"/>
    <col min="26" max="26" width="12.85546875" bestFit="1" customWidth="1"/>
    <col min="27" max="27" width="10.5703125" bestFit="1" customWidth="1"/>
    <col min="28" max="28" width="13.5703125" bestFit="1" customWidth="1"/>
    <col min="29" max="29" width="12.85546875" bestFit="1" customWidth="1"/>
    <col min="30" max="30" width="10.5703125" bestFit="1" customWidth="1"/>
    <col min="31" max="31" width="13.5703125" bestFit="1" customWidth="1"/>
    <col min="32" max="32" width="12.85546875" bestFit="1" customWidth="1"/>
    <col min="33" max="33" width="10.5703125" bestFit="1" customWidth="1"/>
    <col min="34" max="34" width="13.5703125" bestFit="1" customWidth="1"/>
    <col min="35" max="35" width="12.85546875" bestFit="1" customWidth="1"/>
    <col min="36" max="36" width="9.85546875" bestFit="1" customWidth="1"/>
    <col min="37" max="37" width="12" bestFit="1" customWidth="1"/>
    <col min="38" max="41" width="12" style="30" customWidth="1"/>
    <col min="42" max="42" width="10.5703125" bestFit="1" customWidth="1"/>
    <col min="43" max="43" width="13.5703125" bestFit="1" customWidth="1"/>
    <col min="44" max="44" width="12.85546875" bestFit="1" customWidth="1"/>
    <col min="45" max="45" width="10.5703125" bestFit="1" customWidth="1"/>
    <col min="46" max="46" width="13.5703125" bestFit="1" customWidth="1"/>
    <col min="47" max="47" width="12.85546875" bestFit="1" customWidth="1"/>
    <col min="48" max="48" width="10.5703125" bestFit="1" customWidth="1"/>
    <col min="49" max="49" width="13.5703125" bestFit="1" customWidth="1"/>
    <col min="50" max="50" width="12.85546875" bestFit="1" customWidth="1"/>
    <col min="51" max="51" width="10.5703125" bestFit="1" customWidth="1"/>
    <col min="52" max="52" width="13.5703125" bestFit="1" customWidth="1"/>
    <col min="53" max="53" width="12.85546875" bestFit="1" customWidth="1"/>
    <col min="54" max="54" width="12.7109375" customWidth="1"/>
    <col min="55" max="55" width="12" bestFit="1" customWidth="1"/>
    <col min="56" max="56" width="12" style="30" customWidth="1"/>
    <col min="57" max="57" width="12" style="35" customWidth="1"/>
    <col min="58" max="58" width="12" style="30" customWidth="1"/>
    <col min="59" max="59" width="12" style="35" customWidth="1"/>
    <col min="60" max="60" width="11.140625" bestFit="1" customWidth="1"/>
    <col min="61" max="61" width="10.5703125" bestFit="1" customWidth="1"/>
    <col min="62" max="62" width="13.5703125" bestFit="1" customWidth="1"/>
    <col min="63" max="63" width="12.85546875" bestFit="1" customWidth="1"/>
    <col min="64" max="64" width="12.42578125" bestFit="1" customWidth="1"/>
    <col min="65" max="66" width="12.42578125" style="30" customWidth="1"/>
    <col min="67" max="67" width="10.5703125" bestFit="1" customWidth="1"/>
    <col min="68" max="68" width="13.5703125" bestFit="1" customWidth="1"/>
    <col min="69" max="69" width="12.85546875" bestFit="1" customWidth="1"/>
    <col min="70" max="71" width="12.85546875" style="30" customWidth="1"/>
    <col min="72" max="72" width="12" bestFit="1" customWidth="1"/>
    <col min="73" max="73" width="38.85546875" customWidth="1"/>
    <col min="74" max="74" width="11.42578125" customWidth="1"/>
  </cols>
  <sheetData>
    <row r="1" spans="1:74" ht="16.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74" ht="15.75" x14ac:dyDescent="0.3">
      <c r="A2" s="4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74" ht="16.5" x14ac:dyDescent="0.3">
      <c r="A3" s="1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74" ht="15.75" x14ac:dyDescent="0.3">
      <c r="A4" s="4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74" ht="15.7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74" ht="15.7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74" ht="15.75" x14ac:dyDescent="0.25">
      <c r="A7" s="1" t="s">
        <v>22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36"/>
      <c r="BF7" s="1"/>
      <c r="BG7" s="36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spans="1:74" ht="16.5" thickBot="1" x14ac:dyDescent="0.3">
      <c r="A8" s="12" t="s">
        <v>23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36"/>
      <c r="BF8" s="1"/>
      <c r="BG8" s="36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</row>
    <row r="9" spans="1:74" ht="16.5" thickBot="1" x14ac:dyDescent="0.3">
      <c r="A9" s="33" t="s">
        <v>1854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1"/>
      <c r="Z9" s="11"/>
      <c r="AA9" s="1"/>
      <c r="AB9" s="1"/>
      <c r="AC9" s="1"/>
      <c r="AD9" s="1"/>
      <c r="AE9" s="1"/>
      <c r="AF9" s="1"/>
      <c r="AG9" s="1"/>
      <c r="AH9" s="1"/>
      <c r="AI9" s="1"/>
      <c r="AJ9" s="82" t="s">
        <v>2</v>
      </c>
      <c r="AK9" s="56"/>
      <c r="AL9" s="83"/>
      <c r="AM9" s="83"/>
      <c r="AN9" s="83"/>
      <c r="AO9" s="83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83"/>
      <c r="BE9" s="83"/>
      <c r="BF9" s="83"/>
      <c r="BG9" s="83"/>
      <c r="BH9" s="56"/>
      <c r="BI9" s="56"/>
      <c r="BJ9" s="56"/>
      <c r="BK9" s="56"/>
      <c r="BL9" s="56"/>
      <c r="BM9" s="83"/>
      <c r="BN9" s="83"/>
      <c r="BO9" s="56"/>
      <c r="BP9" s="56"/>
      <c r="BQ9" s="56"/>
      <c r="BR9" s="83"/>
      <c r="BS9" s="83"/>
      <c r="BT9" s="55"/>
      <c r="BU9" s="1"/>
      <c r="BV9" s="1"/>
    </row>
    <row r="10" spans="1:74" ht="17.25" thickBot="1" x14ac:dyDescent="0.35">
      <c r="A10" s="34" t="s">
        <v>1855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1"/>
      <c r="Y10" s="11"/>
      <c r="Z10" s="11"/>
      <c r="AA10" s="80" t="s">
        <v>1</v>
      </c>
      <c r="AB10" s="81"/>
      <c r="AC10" s="81"/>
      <c r="AD10" s="1"/>
      <c r="AE10" s="1"/>
      <c r="AF10" s="1"/>
      <c r="AG10" s="1"/>
      <c r="AH10" s="1"/>
      <c r="AI10" s="1"/>
      <c r="AJ10" s="84" t="s">
        <v>1861</v>
      </c>
      <c r="AK10" s="85"/>
      <c r="AL10" s="85"/>
      <c r="AM10" s="85"/>
      <c r="AN10" s="85"/>
      <c r="AO10" s="86"/>
      <c r="AP10" s="43" t="s">
        <v>24</v>
      </c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5"/>
      <c r="BH10" s="49" t="s">
        <v>1862</v>
      </c>
      <c r="BI10" s="50"/>
      <c r="BJ10" s="50"/>
      <c r="BK10" s="50"/>
      <c r="BL10" s="50"/>
      <c r="BM10" s="50"/>
      <c r="BN10" s="51"/>
      <c r="BO10" s="67" t="s">
        <v>8</v>
      </c>
      <c r="BP10" s="68"/>
      <c r="BQ10" s="68"/>
      <c r="BR10" s="68"/>
      <c r="BS10" s="68"/>
      <c r="BT10" s="69"/>
      <c r="BU10" s="2"/>
      <c r="BV10" s="2"/>
    </row>
    <row r="11" spans="1:74" ht="15.75" customHeight="1" thickBot="1" x14ac:dyDescent="0.3">
      <c r="A11" s="43" t="s">
        <v>25</v>
      </c>
      <c r="B11" s="56"/>
      <c r="C11" s="56"/>
      <c r="D11" s="56"/>
      <c r="E11" s="56"/>
      <c r="F11" s="55"/>
      <c r="G11" s="43" t="s">
        <v>26</v>
      </c>
      <c r="H11" s="44"/>
      <c r="I11" s="44"/>
      <c r="J11" s="44"/>
      <c r="K11" s="44"/>
      <c r="L11" s="44"/>
      <c r="M11" s="45"/>
      <c r="N11" s="43" t="s">
        <v>27</v>
      </c>
      <c r="O11" s="56"/>
      <c r="P11" s="55"/>
      <c r="Q11" s="43" t="s">
        <v>28</v>
      </c>
      <c r="R11" s="55"/>
      <c r="S11" s="43" t="s">
        <v>29</v>
      </c>
      <c r="T11" s="55"/>
      <c r="U11" s="43" t="s">
        <v>30</v>
      </c>
      <c r="V11" s="56"/>
      <c r="W11" s="55"/>
      <c r="X11" s="57" t="s">
        <v>4</v>
      </c>
      <c r="Y11" s="56"/>
      <c r="Z11" s="55"/>
      <c r="AA11" s="58" t="s">
        <v>5</v>
      </c>
      <c r="AB11" s="56"/>
      <c r="AC11" s="56"/>
      <c r="AD11" s="59" t="s">
        <v>6</v>
      </c>
      <c r="AE11" s="60"/>
      <c r="AF11" s="61"/>
      <c r="AG11" s="62" t="s">
        <v>7</v>
      </c>
      <c r="AH11" s="56"/>
      <c r="AI11" s="56"/>
      <c r="AJ11" s="87" t="s">
        <v>10</v>
      </c>
      <c r="AK11" s="88" t="s">
        <v>13</v>
      </c>
      <c r="AL11" s="89" t="s">
        <v>11</v>
      </c>
      <c r="AM11" s="88" t="s">
        <v>13</v>
      </c>
      <c r="AN11" s="89" t="s">
        <v>12</v>
      </c>
      <c r="AO11" s="90" t="s">
        <v>13</v>
      </c>
      <c r="AP11" s="63" t="s">
        <v>14</v>
      </c>
      <c r="AQ11" s="53"/>
      <c r="AR11" s="54"/>
      <c r="AS11" s="63" t="s">
        <v>15</v>
      </c>
      <c r="AT11" s="53"/>
      <c r="AU11" s="54"/>
      <c r="AV11" s="63" t="s">
        <v>16</v>
      </c>
      <c r="AW11" s="53"/>
      <c r="AX11" s="54"/>
      <c r="AY11" s="64" t="s">
        <v>17</v>
      </c>
      <c r="AZ11" s="53"/>
      <c r="BA11" s="53"/>
      <c r="BB11" s="70" t="s">
        <v>10</v>
      </c>
      <c r="BC11" s="72" t="s">
        <v>13</v>
      </c>
      <c r="BD11" s="76" t="s">
        <v>11</v>
      </c>
      <c r="BE11" s="72" t="s">
        <v>13</v>
      </c>
      <c r="BF11" s="76" t="s">
        <v>12</v>
      </c>
      <c r="BG11" s="78" t="s">
        <v>13</v>
      </c>
      <c r="BH11" s="74" t="s">
        <v>18</v>
      </c>
      <c r="BI11" s="65" t="s">
        <v>19</v>
      </c>
      <c r="BJ11" s="47"/>
      <c r="BK11" s="66"/>
      <c r="BL11" s="46" t="s">
        <v>1859</v>
      </c>
      <c r="BM11" s="47"/>
      <c r="BN11" s="48"/>
      <c r="BO11" s="52" t="s">
        <v>20</v>
      </c>
      <c r="BP11" s="53"/>
      <c r="BQ11" s="54"/>
      <c r="BR11" s="52" t="s">
        <v>8</v>
      </c>
      <c r="BS11" s="53"/>
      <c r="BT11" s="54"/>
      <c r="BU11" s="13"/>
      <c r="BV11" s="13"/>
    </row>
    <row r="12" spans="1:74" ht="29.25" thickBot="1" x14ac:dyDescent="0.3">
      <c r="A12" s="14" t="s">
        <v>31</v>
      </c>
      <c r="B12" s="15" t="s">
        <v>32</v>
      </c>
      <c r="C12" s="15" t="s">
        <v>33</v>
      </c>
      <c r="D12" s="15" t="s">
        <v>34</v>
      </c>
      <c r="E12" s="15" t="s">
        <v>35</v>
      </c>
      <c r="F12" s="16" t="s">
        <v>36</v>
      </c>
      <c r="G12" s="9" t="s">
        <v>37</v>
      </c>
      <c r="H12" s="9" t="s">
        <v>38</v>
      </c>
      <c r="I12" s="15" t="s">
        <v>39</v>
      </c>
      <c r="J12" s="15" t="s">
        <v>40</v>
      </c>
      <c r="K12" s="15" t="s">
        <v>41</v>
      </c>
      <c r="L12" s="17" t="s">
        <v>42</v>
      </c>
      <c r="M12" s="18" t="s">
        <v>43</v>
      </c>
      <c r="N12" s="19" t="s">
        <v>44</v>
      </c>
      <c r="O12" s="15" t="s">
        <v>45</v>
      </c>
      <c r="P12" s="18" t="s">
        <v>46</v>
      </c>
      <c r="Q12" s="6" t="s">
        <v>47</v>
      </c>
      <c r="R12" s="16" t="s">
        <v>48</v>
      </c>
      <c r="S12" s="14" t="s">
        <v>49</v>
      </c>
      <c r="T12" s="18" t="s">
        <v>50</v>
      </c>
      <c r="U12" s="19" t="s">
        <v>51</v>
      </c>
      <c r="V12" s="15" t="s">
        <v>52</v>
      </c>
      <c r="W12" s="20" t="s">
        <v>53</v>
      </c>
      <c r="X12" s="21" t="s">
        <v>10</v>
      </c>
      <c r="Y12" s="22" t="s">
        <v>11</v>
      </c>
      <c r="Z12" s="23" t="s">
        <v>12</v>
      </c>
      <c r="AA12" s="19" t="s">
        <v>10</v>
      </c>
      <c r="AB12" s="15" t="s">
        <v>11</v>
      </c>
      <c r="AC12" s="20" t="s">
        <v>12</v>
      </c>
      <c r="AD12" s="21" t="s">
        <v>10</v>
      </c>
      <c r="AE12" s="22" t="s">
        <v>11</v>
      </c>
      <c r="AF12" s="24" t="s">
        <v>12</v>
      </c>
      <c r="AG12" s="19" t="s">
        <v>10</v>
      </c>
      <c r="AH12" s="15" t="s">
        <v>11</v>
      </c>
      <c r="AI12" s="20" t="s">
        <v>12</v>
      </c>
      <c r="AJ12" s="91"/>
      <c r="AK12" s="92"/>
      <c r="AL12" s="93"/>
      <c r="AM12" s="92"/>
      <c r="AN12" s="93"/>
      <c r="AO12" s="94"/>
      <c r="AP12" s="6" t="s">
        <v>10</v>
      </c>
      <c r="AQ12" s="7" t="s">
        <v>11</v>
      </c>
      <c r="AR12" s="8" t="s">
        <v>12</v>
      </c>
      <c r="AS12" s="6" t="s">
        <v>10</v>
      </c>
      <c r="AT12" s="9" t="s">
        <v>11</v>
      </c>
      <c r="AU12" s="25" t="s">
        <v>12</v>
      </c>
      <c r="AV12" s="6" t="s">
        <v>10</v>
      </c>
      <c r="AW12" s="9" t="s">
        <v>11</v>
      </c>
      <c r="AX12" s="25" t="s">
        <v>12</v>
      </c>
      <c r="AY12" s="6" t="s">
        <v>10</v>
      </c>
      <c r="AZ12" s="9" t="s">
        <v>11</v>
      </c>
      <c r="BA12" s="26" t="s">
        <v>12</v>
      </c>
      <c r="BB12" s="71"/>
      <c r="BC12" s="73"/>
      <c r="BD12" s="77"/>
      <c r="BE12" s="73"/>
      <c r="BF12" s="77"/>
      <c r="BG12" s="79"/>
      <c r="BH12" s="75"/>
      <c r="BI12" s="28" t="s">
        <v>10</v>
      </c>
      <c r="BJ12" s="28" t="s">
        <v>11</v>
      </c>
      <c r="BK12" s="28" t="s">
        <v>12</v>
      </c>
      <c r="BL12" s="39" t="s">
        <v>10</v>
      </c>
      <c r="BM12" s="39" t="s">
        <v>11</v>
      </c>
      <c r="BN12" s="29" t="s">
        <v>12</v>
      </c>
      <c r="BO12" s="27" t="s">
        <v>10</v>
      </c>
      <c r="BP12" s="10" t="s">
        <v>11</v>
      </c>
      <c r="BQ12" s="10" t="s">
        <v>12</v>
      </c>
      <c r="BR12" s="27" t="s">
        <v>10</v>
      </c>
      <c r="BS12" s="10" t="s">
        <v>11</v>
      </c>
      <c r="BT12" s="10" t="s">
        <v>12</v>
      </c>
      <c r="BU12" s="5"/>
      <c r="BV12" s="5"/>
    </row>
    <row r="13" spans="1:74" ht="15.75" x14ac:dyDescent="0.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60</v>
      </c>
      <c r="H13" s="2" t="s">
        <v>61</v>
      </c>
      <c r="I13" s="2" t="s">
        <v>62</v>
      </c>
      <c r="J13" s="2" t="s">
        <v>63</v>
      </c>
      <c r="K13" s="2" t="s">
        <v>64</v>
      </c>
      <c r="L13" s="2" t="s">
        <v>65</v>
      </c>
      <c r="M13" s="2">
        <v>116</v>
      </c>
      <c r="N13" s="2" t="s">
        <v>66</v>
      </c>
      <c r="O13" s="2" t="s">
        <v>67</v>
      </c>
      <c r="P13" s="2" t="s">
        <v>68</v>
      </c>
      <c r="Q13" s="2" t="s">
        <v>69</v>
      </c>
      <c r="R13" s="2" t="s">
        <v>70</v>
      </c>
      <c r="S13" s="2" t="s">
        <v>71</v>
      </c>
      <c r="T13" s="2" t="s">
        <v>72</v>
      </c>
      <c r="U13" s="2" t="s">
        <v>73</v>
      </c>
      <c r="V13" s="2" t="s">
        <v>72</v>
      </c>
      <c r="W13" s="2" t="s">
        <v>74</v>
      </c>
      <c r="X13" s="38">
        <v>143</v>
      </c>
      <c r="Y13" s="38">
        <v>17</v>
      </c>
      <c r="Z13" s="38">
        <v>126</v>
      </c>
      <c r="AA13" s="38">
        <v>103</v>
      </c>
      <c r="AB13" s="38">
        <v>7</v>
      </c>
      <c r="AC13" s="38">
        <v>96</v>
      </c>
      <c r="AD13" s="38">
        <v>33</v>
      </c>
      <c r="AE13" s="38">
        <v>7</v>
      </c>
      <c r="AF13" s="38">
        <v>26</v>
      </c>
      <c r="AG13" s="38">
        <v>0</v>
      </c>
      <c r="AH13" s="38">
        <v>0</v>
      </c>
      <c r="AI13" s="38">
        <v>0</v>
      </c>
      <c r="AJ13" s="38">
        <v>7</v>
      </c>
      <c r="AK13" s="37">
        <v>4.895104895104895</v>
      </c>
      <c r="AL13" s="40">
        <f>Y13-AB13-AE13</f>
        <v>3</v>
      </c>
      <c r="AM13" s="37">
        <f>(AL13/Y13)*100</f>
        <v>17.647058823529413</v>
      </c>
      <c r="AN13" s="40">
        <f>Z13-AC13-AF13</f>
        <v>4</v>
      </c>
      <c r="AO13" s="37">
        <f>(AN13/Z13)*100</f>
        <v>3.1746031746031744</v>
      </c>
      <c r="AP13" s="38">
        <v>148</v>
      </c>
      <c r="AQ13" s="38">
        <v>23</v>
      </c>
      <c r="AR13" s="38">
        <v>125</v>
      </c>
      <c r="AS13" s="38">
        <v>52</v>
      </c>
      <c r="AT13" s="38">
        <v>15</v>
      </c>
      <c r="AU13" s="38">
        <v>37</v>
      </c>
      <c r="AV13" s="38">
        <v>39</v>
      </c>
      <c r="AW13" s="38">
        <v>5</v>
      </c>
      <c r="AX13" s="38">
        <v>34</v>
      </c>
      <c r="AY13" s="38">
        <v>146</v>
      </c>
      <c r="AZ13" s="38">
        <v>18</v>
      </c>
      <c r="BA13" s="38">
        <v>128</v>
      </c>
      <c r="BB13" s="38">
        <v>11</v>
      </c>
      <c r="BC13" s="37">
        <v>7.5342465753424657</v>
      </c>
      <c r="BD13" s="40">
        <v>5</v>
      </c>
      <c r="BE13" s="37">
        <v>27.777777777777779</v>
      </c>
      <c r="BF13" s="40">
        <v>6</v>
      </c>
      <c r="BG13" s="37">
        <v>4.6875</v>
      </c>
      <c r="BH13" s="38">
        <v>39</v>
      </c>
      <c r="BI13" s="38">
        <v>42</v>
      </c>
      <c r="BJ13" s="38">
        <v>8</v>
      </c>
      <c r="BK13" s="38">
        <v>34</v>
      </c>
      <c r="BL13" s="37">
        <v>92.857142857142861</v>
      </c>
      <c r="BM13" s="37">
        <v>62.5</v>
      </c>
      <c r="BN13" s="37">
        <v>100</v>
      </c>
      <c r="BO13" s="38">
        <v>47</v>
      </c>
      <c r="BP13" s="38">
        <v>8</v>
      </c>
      <c r="BQ13" s="38">
        <v>39</v>
      </c>
      <c r="BR13" s="37">
        <v>82.978723404255319</v>
      </c>
      <c r="BS13" s="37">
        <v>62.5</v>
      </c>
      <c r="BT13" s="37">
        <v>87.179487179487182</v>
      </c>
      <c r="BU13" s="2"/>
      <c r="BV13" s="2"/>
    </row>
    <row r="14" spans="1:74" s="32" customFormat="1" ht="15.75" x14ac:dyDescent="0.3">
      <c r="A14" s="31" t="s">
        <v>54</v>
      </c>
      <c r="B14" s="31" t="s">
        <v>55</v>
      </c>
      <c r="C14" s="31" t="s">
        <v>56</v>
      </c>
      <c r="D14" s="31" t="s">
        <v>57</v>
      </c>
      <c r="E14" s="31" t="s">
        <v>58</v>
      </c>
      <c r="F14" s="31" t="s">
        <v>59</v>
      </c>
      <c r="G14" s="31" t="s">
        <v>60</v>
      </c>
      <c r="H14" s="31" t="s">
        <v>61</v>
      </c>
      <c r="I14" s="31" t="s">
        <v>62</v>
      </c>
      <c r="J14" s="31" t="s">
        <v>75</v>
      </c>
      <c r="K14" s="31" t="s">
        <v>76</v>
      </c>
      <c r="L14" s="31" t="s">
        <v>77</v>
      </c>
      <c r="M14" s="31">
        <v>0</v>
      </c>
      <c r="N14" s="31" t="s">
        <v>78</v>
      </c>
      <c r="O14" s="31" t="s">
        <v>79</v>
      </c>
      <c r="P14" s="31" t="s">
        <v>80</v>
      </c>
      <c r="Q14" s="31" t="s">
        <v>69</v>
      </c>
      <c r="R14" s="31" t="s">
        <v>70</v>
      </c>
      <c r="S14" s="31" t="s">
        <v>81</v>
      </c>
      <c r="T14" s="31" t="s">
        <v>82</v>
      </c>
      <c r="U14" s="31" t="s">
        <v>83</v>
      </c>
      <c r="V14" s="31" t="s">
        <v>82</v>
      </c>
      <c r="W14" s="31" t="s">
        <v>84</v>
      </c>
      <c r="X14" s="41">
        <v>93</v>
      </c>
      <c r="Y14" s="41">
        <v>52</v>
      </c>
      <c r="Z14" s="41">
        <v>41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2">
        <v>0</v>
      </c>
      <c r="AL14" s="41">
        <v>0</v>
      </c>
      <c r="AM14" s="42">
        <v>0</v>
      </c>
      <c r="AN14" s="41">
        <v>0</v>
      </c>
      <c r="AO14" s="42">
        <v>0</v>
      </c>
      <c r="AP14" s="41">
        <v>93</v>
      </c>
      <c r="AQ14" s="41">
        <v>52</v>
      </c>
      <c r="AR14" s="41">
        <v>41</v>
      </c>
      <c r="AS14" s="41">
        <v>0</v>
      </c>
      <c r="AT14" s="41">
        <v>0</v>
      </c>
      <c r="AU14" s="41">
        <v>0</v>
      </c>
      <c r="AV14" s="41">
        <v>5</v>
      </c>
      <c r="AW14" s="41">
        <v>2</v>
      </c>
      <c r="AX14" s="41">
        <v>3</v>
      </c>
      <c r="AY14" s="41">
        <v>83</v>
      </c>
      <c r="AZ14" s="41">
        <v>48</v>
      </c>
      <c r="BA14" s="41">
        <v>35</v>
      </c>
      <c r="BB14" s="41">
        <v>-15</v>
      </c>
      <c r="BC14" s="42">
        <v>-18.072289156626507</v>
      </c>
      <c r="BD14" s="40">
        <v>-6</v>
      </c>
      <c r="BE14" s="37">
        <v>-12.5</v>
      </c>
      <c r="BF14" s="40">
        <v>-9</v>
      </c>
      <c r="BG14" s="37">
        <v>-25.714285714285712</v>
      </c>
      <c r="BH14" s="41">
        <v>5</v>
      </c>
      <c r="BI14" s="41">
        <v>0</v>
      </c>
      <c r="BJ14" s="41">
        <v>0</v>
      </c>
      <c r="BK14" s="41">
        <v>0</v>
      </c>
      <c r="BL14" s="42" t="s">
        <v>1860</v>
      </c>
      <c r="BM14" s="37" t="s">
        <v>1860</v>
      </c>
      <c r="BN14" s="37" t="s">
        <v>1860</v>
      </c>
      <c r="BO14" s="41">
        <v>3</v>
      </c>
      <c r="BP14" s="41">
        <v>3</v>
      </c>
      <c r="BQ14" s="41">
        <v>0</v>
      </c>
      <c r="BR14" s="42">
        <v>166.66666666666669</v>
      </c>
      <c r="BS14" s="37">
        <v>66.666666666666657</v>
      </c>
      <c r="BT14" s="37" t="s">
        <v>1860</v>
      </c>
      <c r="BU14" s="31"/>
      <c r="BV14" s="31"/>
    </row>
    <row r="15" spans="1:74" s="32" customFormat="1" ht="15.75" x14ac:dyDescent="0.3">
      <c r="A15" s="31" t="s">
        <v>54</v>
      </c>
      <c r="B15" s="31" t="s">
        <v>55</v>
      </c>
      <c r="C15" s="31" t="s">
        <v>56</v>
      </c>
      <c r="D15" s="31" t="s">
        <v>57</v>
      </c>
      <c r="E15" s="31" t="s">
        <v>58</v>
      </c>
      <c r="F15" s="31" t="s">
        <v>59</v>
      </c>
      <c r="G15" s="31" t="s">
        <v>60</v>
      </c>
      <c r="H15" s="31" t="s">
        <v>61</v>
      </c>
      <c r="I15" s="31" t="s">
        <v>85</v>
      </c>
      <c r="J15" s="31" t="s">
        <v>85</v>
      </c>
      <c r="K15" s="31" t="s">
        <v>86</v>
      </c>
      <c r="L15" s="31" t="s">
        <v>87</v>
      </c>
      <c r="M15" s="31">
        <v>122</v>
      </c>
      <c r="N15" s="31" t="s">
        <v>88</v>
      </c>
      <c r="O15" s="31" t="s">
        <v>89</v>
      </c>
      <c r="P15" s="31" t="s">
        <v>80</v>
      </c>
      <c r="Q15" s="31" t="s">
        <v>90</v>
      </c>
      <c r="R15" s="31" t="s">
        <v>91</v>
      </c>
      <c r="S15" s="31" t="s">
        <v>92</v>
      </c>
      <c r="T15" s="31" t="s">
        <v>93</v>
      </c>
      <c r="U15" s="31" t="s">
        <v>94</v>
      </c>
      <c r="V15" s="31" t="s">
        <v>93</v>
      </c>
      <c r="W15" s="31" t="s">
        <v>84</v>
      </c>
      <c r="X15" s="41">
        <v>14</v>
      </c>
      <c r="Y15" s="41">
        <v>8</v>
      </c>
      <c r="Z15" s="41">
        <v>6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2">
        <v>0</v>
      </c>
      <c r="AL15" s="41">
        <v>0</v>
      </c>
      <c r="AM15" s="42">
        <v>0</v>
      </c>
      <c r="AN15" s="41">
        <v>0</v>
      </c>
      <c r="AO15" s="42">
        <v>0</v>
      </c>
      <c r="AP15" s="41">
        <v>17</v>
      </c>
      <c r="AQ15" s="41">
        <v>9</v>
      </c>
      <c r="AR15" s="41">
        <v>8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1">
        <v>14</v>
      </c>
      <c r="AZ15" s="41">
        <v>9</v>
      </c>
      <c r="BA15" s="41">
        <v>5</v>
      </c>
      <c r="BB15" s="41">
        <v>-3</v>
      </c>
      <c r="BC15" s="42">
        <v>-21.428571428571427</v>
      </c>
      <c r="BD15" s="40">
        <v>0</v>
      </c>
      <c r="BE15" s="37">
        <v>0</v>
      </c>
      <c r="BF15" s="40">
        <v>-3</v>
      </c>
      <c r="BG15" s="37">
        <v>-60</v>
      </c>
      <c r="BH15" s="41">
        <v>0</v>
      </c>
      <c r="BI15" s="41">
        <v>0</v>
      </c>
      <c r="BJ15" s="41">
        <v>0</v>
      </c>
      <c r="BK15" s="41">
        <v>0</v>
      </c>
      <c r="BL15" s="42" t="s">
        <v>1860</v>
      </c>
      <c r="BM15" s="37" t="s">
        <v>1860</v>
      </c>
      <c r="BN15" s="37" t="s">
        <v>1860</v>
      </c>
      <c r="BO15" s="41">
        <v>1</v>
      </c>
      <c r="BP15" s="41">
        <v>1</v>
      </c>
      <c r="BQ15" s="41">
        <v>0</v>
      </c>
      <c r="BR15" s="42">
        <v>0</v>
      </c>
      <c r="BS15" s="37">
        <v>0</v>
      </c>
      <c r="BT15" s="37" t="s">
        <v>1860</v>
      </c>
      <c r="BU15" s="31"/>
      <c r="BV15" s="31"/>
    </row>
    <row r="16" spans="1:74" ht="15.75" x14ac:dyDescent="0.3">
      <c r="A16" s="2" t="s">
        <v>54</v>
      </c>
      <c r="B16" s="2" t="s">
        <v>55</v>
      </c>
      <c r="C16" s="2" t="s">
        <v>56</v>
      </c>
      <c r="D16" s="2" t="s">
        <v>57</v>
      </c>
      <c r="E16" s="2" t="s">
        <v>95</v>
      </c>
      <c r="F16" s="2" t="s">
        <v>96</v>
      </c>
      <c r="G16" s="2" t="s">
        <v>60</v>
      </c>
      <c r="H16" s="2" t="s">
        <v>61</v>
      </c>
      <c r="I16" s="2" t="s">
        <v>62</v>
      </c>
      <c r="J16" s="2" t="s">
        <v>63</v>
      </c>
      <c r="K16" s="2" t="s">
        <v>97</v>
      </c>
      <c r="L16" s="2" t="s">
        <v>98</v>
      </c>
      <c r="M16" s="2">
        <v>201</v>
      </c>
      <c r="N16" s="2" t="s">
        <v>99</v>
      </c>
      <c r="O16" s="2" t="s">
        <v>100</v>
      </c>
      <c r="P16" s="2" t="s">
        <v>101</v>
      </c>
      <c r="Q16" s="2" t="s">
        <v>69</v>
      </c>
      <c r="R16" s="2" t="s">
        <v>70</v>
      </c>
      <c r="S16" s="2" t="s">
        <v>102</v>
      </c>
      <c r="T16" s="2" t="s">
        <v>103</v>
      </c>
      <c r="U16" s="2" t="s">
        <v>104</v>
      </c>
      <c r="V16" s="2" t="s">
        <v>103</v>
      </c>
      <c r="W16" s="2" t="s">
        <v>74</v>
      </c>
      <c r="X16" s="38">
        <v>6</v>
      </c>
      <c r="Y16" s="38">
        <v>0</v>
      </c>
      <c r="Z16" s="38">
        <v>6</v>
      </c>
      <c r="AA16" s="38">
        <v>6</v>
      </c>
      <c r="AB16" s="38">
        <v>0</v>
      </c>
      <c r="AC16" s="38">
        <v>6</v>
      </c>
      <c r="AD16" s="38">
        <v>0</v>
      </c>
      <c r="AE16" s="38">
        <v>0</v>
      </c>
      <c r="AF16" s="38">
        <v>0</v>
      </c>
      <c r="AG16" s="38">
        <v>0</v>
      </c>
      <c r="AH16" s="38">
        <v>0</v>
      </c>
      <c r="AI16" s="38">
        <v>0</v>
      </c>
      <c r="AJ16" s="38">
        <v>0</v>
      </c>
      <c r="AK16" s="37">
        <v>0</v>
      </c>
      <c r="AL16" s="40">
        <f t="shared" ref="AL14:AL77" si="0">Y16-AB16-AE16</f>
        <v>0</v>
      </c>
      <c r="AM16" s="37" t="e">
        <f t="shared" ref="AM14:AM77" si="1">(AL16/Y16)*100</f>
        <v>#DIV/0!</v>
      </c>
      <c r="AN16" s="40">
        <f t="shared" ref="AN14:AN77" si="2">Z16-AC16-AF16</f>
        <v>0</v>
      </c>
      <c r="AO16" s="37">
        <f t="shared" ref="AO14:AO77" si="3">(AN16/Z16)*100</f>
        <v>0</v>
      </c>
      <c r="AP16" s="38">
        <v>7</v>
      </c>
      <c r="AQ16" s="38">
        <v>0</v>
      </c>
      <c r="AR16" s="38">
        <v>7</v>
      </c>
      <c r="AS16" s="38">
        <v>3</v>
      </c>
      <c r="AT16" s="38">
        <v>0</v>
      </c>
      <c r="AU16" s="38">
        <v>3</v>
      </c>
      <c r="AV16" s="38">
        <v>2</v>
      </c>
      <c r="AW16" s="38">
        <v>0</v>
      </c>
      <c r="AX16" s="38">
        <v>2</v>
      </c>
      <c r="AY16" s="38">
        <v>9</v>
      </c>
      <c r="AZ16" s="38">
        <v>0</v>
      </c>
      <c r="BA16" s="38">
        <v>9</v>
      </c>
      <c r="BB16" s="38">
        <v>3</v>
      </c>
      <c r="BC16" s="37">
        <v>33.333333333333329</v>
      </c>
      <c r="BD16" s="40">
        <v>0</v>
      </c>
      <c r="BE16" s="37" t="s">
        <v>1860</v>
      </c>
      <c r="BF16" s="40">
        <v>3</v>
      </c>
      <c r="BG16" s="37">
        <v>33.333333333333329</v>
      </c>
      <c r="BH16" s="38">
        <v>2</v>
      </c>
      <c r="BI16" s="38">
        <v>2</v>
      </c>
      <c r="BJ16" s="38">
        <v>0</v>
      </c>
      <c r="BK16" s="38">
        <v>2</v>
      </c>
      <c r="BL16" s="37">
        <v>100</v>
      </c>
      <c r="BM16" s="37" t="s">
        <v>1860</v>
      </c>
      <c r="BN16" s="37">
        <v>100</v>
      </c>
      <c r="BO16" s="38">
        <v>5</v>
      </c>
      <c r="BP16" s="38">
        <v>0</v>
      </c>
      <c r="BQ16" s="38">
        <v>5</v>
      </c>
      <c r="BR16" s="37">
        <v>40</v>
      </c>
      <c r="BS16" s="37" t="s">
        <v>1860</v>
      </c>
      <c r="BT16" s="37">
        <v>40</v>
      </c>
      <c r="BU16" s="2"/>
      <c r="BV16" s="2"/>
    </row>
    <row r="17" spans="1:74" ht="15.75" x14ac:dyDescent="0.3">
      <c r="A17" s="2" t="s">
        <v>54</v>
      </c>
      <c r="B17" s="2" t="s">
        <v>55</v>
      </c>
      <c r="C17" s="2" t="s">
        <v>105</v>
      </c>
      <c r="D17" s="2" t="s">
        <v>57</v>
      </c>
      <c r="E17" s="2" t="s">
        <v>95</v>
      </c>
      <c r="F17" s="2" t="s">
        <v>106</v>
      </c>
      <c r="G17" s="2" t="s">
        <v>60</v>
      </c>
      <c r="H17" s="2" t="s">
        <v>61</v>
      </c>
      <c r="I17" s="2" t="s">
        <v>62</v>
      </c>
      <c r="J17" s="2" t="s">
        <v>63</v>
      </c>
      <c r="K17" s="2" t="s">
        <v>107</v>
      </c>
      <c r="L17" s="2" t="s">
        <v>108</v>
      </c>
      <c r="M17" s="2">
        <v>0</v>
      </c>
      <c r="N17" s="2" t="s">
        <v>109</v>
      </c>
      <c r="O17" s="2" t="s">
        <v>80</v>
      </c>
      <c r="P17" s="2" t="s">
        <v>80</v>
      </c>
      <c r="Q17" s="2" t="s">
        <v>69</v>
      </c>
      <c r="R17" s="2" t="s">
        <v>70</v>
      </c>
      <c r="S17" s="2" t="s">
        <v>110</v>
      </c>
      <c r="T17" s="2" t="s">
        <v>111</v>
      </c>
      <c r="U17" s="2" t="s">
        <v>112</v>
      </c>
      <c r="V17" s="2" t="s">
        <v>111</v>
      </c>
      <c r="W17" s="2" t="s">
        <v>74</v>
      </c>
      <c r="X17" s="38">
        <v>1045</v>
      </c>
      <c r="Y17" s="38">
        <v>395</v>
      </c>
      <c r="Z17" s="38">
        <v>650</v>
      </c>
      <c r="AA17" s="38">
        <v>775</v>
      </c>
      <c r="AB17" s="38">
        <v>262</v>
      </c>
      <c r="AC17" s="38">
        <v>513</v>
      </c>
      <c r="AD17" s="38">
        <v>36</v>
      </c>
      <c r="AE17" s="38">
        <v>15</v>
      </c>
      <c r="AF17" s="38">
        <v>21</v>
      </c>
      <c r="AG17" s="38">
        <v>0</v>
      </c>
      <c r="AH17" s="38">
        <v>0</v>
      </c>
      <c r="AI17" s="38">
        <v>0</v>
      </c>
      <c r="AJ17" s="38">
        <v>234</v>
      </c>
      <c r="AK17" s="37">
        <v>22.392344497607656</v>
      </c>
      <c r="AL17" s="40">
        <f t="shared" si="0"/>
        <v>118</v>
      </c>
      <c r="AM17" s="37">
        <f t="shared" si="1"/>
        <v>29.873417721518987</v>
      </c>
      <c r="AN17" s="40">
        <f t="shared" si="2"/>
        <v>116</v>
      </c>
      <c r="AO17" s="37">
        <f t="shared" si="3"/>
        <v>17.846153846153847</v>
      </c>
      <c r="AP17" s="38">
        <v>1206</v>
      </c>
      <c r="AQ17" s="38">
        <v>495</v>
      </c>
      <c r="AR17" s="38">
        <v>711</v>
      </c>
      <c r="AS17" s="38">
        <v>408</v>
      </c>
      <c r="AT17" s="38">
        <v>185</v>
      </c>
      <c r="AU17" s="38">
        <v>223</v>
      </c>
      <c r="AV17" s="38">
        <v>293</v>
      </c>
      <c r="AW17" s="38">
        <v>93</v>
      </c>
      <c r="AX17" s="38">
        <v>200</v>
      </c>
      <c r="AY17" s="38">
        <v>1087</v>
      </c>
      <c r="AZ17" s="38">
        <v>432</v>
      </c>
      <c r="BA17" s="38">
        <v>655</v>
      </c>
      <c r="BB17" s="38">
        <v>-4</v>
      </c>
      <c r="BC17" s="37">
        <v>-0.36798528058877644</v>
      </c>
      <c r="BD17" s="40">
        <v>29</v>
      </c>
      <c r="BE17" s="37">
        <v>6.7129629629629637</v>
      </c>
      <c r="BF17" s="40">
        <v>-33</v>
      </c>
      <c r="BG17" s="37">
        <v>-5.0381679389312977</v>
      </c>
      <c r="BH17" s="38">
        <v>293</v>
      </c>
      <c r="BI17" s="38">
        <v>330</v>
      </c>
      <c r="BJ17" s="38">
        <v>115</v>
      </c>
      <c r="BK17" s="38">
        <v>215</v>
      </c>
      <c r="BL17" s="37">
        <v>88.787878787878796</v>
      </c>
      <c r="BM17" s="37">
        <v>80.869565217391298</v>
      </c>
      <c r="BN17" s="37">
        <v>93.023255813953483</v>
      </c>
      <c r="BO17" s="38">
        <v>384</v>
      </c>
      <c r="BP17" s="38">
        <v>156</v>
      </c>
      <c r="BQ17" s="38">
        <v>228</v>
      </c>
      <c r="BR17" s="37">
        <v>76.302083333333343</v>
      </c>
      <c r="BS17" s="37">
        <v>59.615384615384613</v>
      </c>
      <c r="BT17" s="37">
        <v>87.719298245614027</v>
      </c>
      <c r="BU17" s="2"/>
      <c r="BV17" s="2"/>
    </row>
    <row r="18" spans="1:74" ht="15.75" x14ac:dyDescent="0.3">
      <c r="A18" s="2" t="s">
        <v>54</v>
      </c>
      <c r="B18" s="2" t="s">
        <v>55</v>
      </c>
      <c r="C18" s="2" t="s">
        <v>105</v>
      </c>
      <c r="D18" s="2" t="s">
        <v>57</v>
      </c>
      <c r="E18" s="2" t="s">
        <v>95</v>
      </c>
      <c r="F18" s="2" t="s">
        <v>106</v>
      </c>
      <c r="G18" s="2" t="s">
        <v>60</v>
      </c>
      <c r="H18" s="2" t="s">
        <v>61</v>
      </c>
      <c r="I18" s="2" t="s">
        <v>62</v>
      </c>
      <c r="J18" s="2" t="s">
        <v>63</v>
      </c>
      <c r="K18" s="2" t="s">
        <v>107</v>
      </c>
      <c r="L18" s="2" t="s">
        <v>108</v>
      </c>
      <c r="M18" s="2">
        <v>0</v>
      </c>
      <c r="N18" s="2" t="s">
        <v>109</v>
      </c>
      <c r="O18" s="2" t="s">
        <v>80</v>
      </c>
      <c r="P18" s="2" t="s">
        <v>80</v>
      </c>
      <c r="Q18" s="2" t="s">
        <v>69</v>
      </c>
      <c r="R18" s="2" t="s">
        <v>70</v>
      </c>
      <c r="S18" s="2" t="s">
        <v>110</v>
      </c>
      <c r="T18" s="2" t="s">
        <v>111</v>
      </c>
      <c r="U18" s="2" t="s">
        <v>112</v>
      </c>
      <c r="V18" s="2" t="s">
        <v>111</v>
      </c>
      <c r="W18" s="2" t="s">
        <v>113</v>
      </c>
      <c r="X18" s="38">
        <v>932</v>
      </c>
      <c r="Y18" s="38">
        <v>374</v>
      </c>
      <c r="Z18" s="38">
        <v>558</v>
      </c>
      <c r="AA18" s="38">
        <v>705</v>
      </c>
      <c r="AB18" s="38">
        <v>257</v>
      </c>
      <c r="AC18" s="38">
        <v>448</v>
      </c>
      <c r="AD18" s="38">
        <v>29</v>
      </c>
      <c r="AE18" s="38">
        <v>17</v>
      </c>
      <c r="AF18" s="38">
        <v>12</v>
      </c>
      <c r="AG18" s="38">
        <v>0</v>
      </c>
      <c r="AH18" s="38">
        <v>0</v>
      </c>
      <c r="AI18" s="38">
        <v>0</v>
      </c>
      <c r="AJ18" s="38">
        <v>198</v>
      </c>
      <c r="AK18" s="37">
        <v>21.244635193133046</v>
      </c>
      <c r="AL18" s="40">
        <f t="shared" si="0"/>
        <v>100</v>
      </c>
      <c r="AM18" s="37">
        <f t="shared" si="1"/>
        <v>26.737967914438503</v>
      </c>
      <c r="AN18" s="40">
        <f t="shared" si="2"/>
        <v>98</v>
      </c>
      <c r="AO18" s="37">
        <f t="shared" si="3"/>
        <v>17.562724014336915</v>
      </c>
      <c r="AP18" s="38">
        <v>920</v>
      </c>
      <c r="AQ18" s="38">
        <v>360</v>
      </c>
      <c r="AR18" s="38">
        <v>560</v>
      </c>
      <c r="AS18" s="38">
        <v>347</v>
      </c>
      <c r="AT18" s="38">
        <v>145</v>
      </c>
      <c r="AU18" s="38">
        <v>202</v>
      </c>
      <c r="AV18" s="38">
        <v>204</v>
      </c>
      <c r="AW18" s="38">
        <v>84</v>
      </c>
      <c r="AX18" s="38">
        <v>120</v>
      </c>
      <c r="AY18" s="38">
        <v>981</v>
      </c>
      <c r="AZ18" s="38">
        <v>397</v>
      </c>
      <c r="BA18" s="38">
        <v>584</v>
      </c>
      <c r="BB18" s="38">
        <v>204</v>
      </c>
      <c r="BC18" s="37">
        <v>20.795107033639145</v>
      </c>
      <c r="BD18" s="40">
        <v>98</v>
      </c>
      <c r="BE18" s="37">
        <v>24.685138539042821</v>
      </c>
      <c r="BF18" s="40">
        <v>106</v>
      </c>
      <c r="BG18" s="37">
        <v>18.150684931506849</v>
      </c>
      <c r="BH18" s="38">
        <v>204</v>
      </c>
      <c r="BI18" s="38">
        <v>237</v>
      </c>
      <c r="BJ18" s="38">
        <v>96</v>
      </c>
      <c r="BK18" s="38">
        <v>141</v>
      </c>
      <c r="BL18" s="37">
        <v>86.075949367088612</v>
      </c>
      <c r="BM18" s="37">
        <v>87.5</v>
      </c>
      <c r="BN18" s="37">
        <v>85.106382978723403</v>
      </c>
      <c r="BO18" s="38">
        <v>306</v>
      </c>
      <c r="BP18" s="38">
        <v>136</v>
      </c>
      <c r="BQ18" s="38">
        <v>170</v>
      </c>
      <c r="BR18" s="37">
        <v>66.666666666666657</v>
      </c>
      <c r="BS18" s="37">
        <v>61.764705882352942</v>
      </c>
      <c r="BT18" s="37">
        <v>70.588235294117652</v>
      </c>
      <c r="BU18" s="2"/>
      <c r="BV18" s="2"/>
    </row>
    <row r="19" spans="1:74" ht="15.75" x14ac:dyDescent="0.3">
      <c r="A19" s="2" t="s">
        <v>54</v>
      </c>
      <c r="B19" s="2" t="s">
        <v>55</v>
      </c>
      <c r="C19" s="2" t="s">
        <v>105</v>
      </c>
      <c r="D19" s="2" t="s">
        <v>57</v>
      </c>
      <c r="E19" s="2" t="s">
        <v>95</v>
      </c>
      <c r="F19" s="2" t="s">
        <v>106</v>
      </c>
      <c r="G19" s="2" t="s">
        <v>60</v>
      </c>
      <c r="H19" s="2" t="s">
        <v>61</v>
      </c>
      <c r="I19" s="2" t="s">
        <v>114</v>
      </c>
      <c r="J19" s="2" t="s">
        <v>114</v>
      </c>
      <c r="K19" s="2" t="s">
        <v>115</v>
      </c>
      <c r="L19" s="2" t="s">
        <v>116</v>
      </c>
      <c r="M19" s="2">
        <v>305</v>
      </c>
      <c r="N19" s="2" t="s">
        <v>117</v>
      </c>
      <c r="O19" s="2" t="s">
        <v>118</v>
      </c>
      <c r="P19" s="2" t="s">
        <v>80</v>
      </c>
      <c r="Q19" s="2" t="s">
        <v>90</v>
      </c>
      <c r="R19" s="2" t="s">
        <v>91</v>
      </c>
      <c r="S19" s="2" t="s">
        <v>119</v>
      </c>
      <c r="T19" s="2" t="s">
        <v>120</v>
      </c>
      <c r="U19" s="2" t="s">
        <v>121</v>
      </c>
      <c r="V19" s="2" t="s">
        <v>120</v>
      </c>
      <c r="W19" s="2" t="s">
        <v>74</v>
      </c>
      <c r="X19" s="38">
        <v>461</v>
      </c>
      <c r="Y19" s="38">
        <v>218</v>
      </c>
      <c r="Z19" s="38">
        <v>243</v>
      </c>
      <c r="AA19" s="38">
        <v>392</v>
      </c>
      <c r="AB19" s="38">
        <v>166</v>
      </c>
      <c r="AC19" s="38">
        <v>226</v>
      </c>
      <c r="AD19" s="38">
        <v>7</v>
      </c>
      <c r="AE19" s="38">
        <v>6</v>
      </c>
      <c r="AF19" s="38">
        <v>1</v>
      </c>
      <c r="AG19" s="38">
        <v>0</v>
      </c>
      <c r="AH19" s="38">
        <v>0</v>
      </c>
      <c r="AI19" s="38">
        <v>0</v>
      </c>
      <c r="AJ19" s="38">
        <v>62</v>
      </c>
      <c r="AK19" s="37">
        <v>13.449023861171366</v>
      </c>
      <c r="AL19" s="40">
        <f t="shared" si="0"/>
        <v>46</v>
      </c>
      <c r="AM19" s="37">
        <f t="shared" si="1"/>
        <v>21.100917431192663</v>
      </c>
      <c r="AN19" s="40">
        <f t="shared" si="2"/>
        <v>16</v>
      </c>
      <c r="AO19" s="37">
        <f t="shared" si="3"/>
        <v>6.5843621399176957</v>
      </c>
      <c r="AP19" s="38">
        <v>482</v>
      </c>
      <c r="AQ19" s="38">
        <v>216</v>
      </c>
      <c r="AR19" s="38">
        <v>266</v>
      </c>
      <c r="AS19" s="38">
        <v>167</v>
      </c>
      <c r="AT19" s="38">
        <v>73</v>
      </c>
      <c r="AU19" s="38">
        <v>94</v>
      </c>
      <c r="AV19" s="38">
        <v>121</v>
      </c>
      <c r="AW19" s="38">
        <v>55</v>
      </c>
      <c r="AX19" s="38">
        <v>66</v>
      </c>
      <c r="AY19" s="38">
        <v>401</v>
      </c>
      <c r="AZ19" s="38">
        <v>189</v>
      </c>
      <c r="BA19" s="38">
        <v>212</v>
      </c>
      <c r="BB19" s="38">
        <v>-35</v>
      </c>
      <c r="BC19" s="37">
        <v>-8.7281795511221958</v>
      </c>
      <c r="BD19" s="40">
        <v>-9</v>
      </c>
      <c r="BE19" s="37">
        <v>-4.7619047619047619</v>
      </c>
      <c r="BF19" s="40">
        <v>-26</v>
      </c>
      <c r="BG19" s="37">
        <v>-12.264150943396226</v>
      </c>
      <c r="BH19" s="38">
        <v>121</v>
      </c>
      <c r="BI19" s="38">
        <v>134</v>
      </c>
      <c r="BJ19" s="38">
        <v>63</v>
      </c>
      <c r="BK19" s="38">
        <v>71</v>
      </c>
      <c r="BL19" s="37">
        <v>90.298507462686572</v>
      </c>
      <c r="BM19" s="37">
        <v>87.301587301587304</v>
      </c>
      <c r="BN19" s="37">
        <v>92.957746478873233</v>
      </c>
      <c r="BO19" s="38">
        <v>112</v>
      </c>
      <c r="BP19" s="38">
        <v>55</v>
      </c>
      <c r="BQ19" s="38">
        <v>57</v>
      </c>
      <c r="BR19" s="37">
        <v>108.03571428571428</v>
      </c>
      <c r="BS19" s="37">
        <v>100</v>
      </c>
      <c r="BT19" s="37">
        <v>115.78947368421053</v>
      </c>
      <c r="BU19" s="2"/>
      <c r="BV19" s="2"/>
    </row>
    <row r="20" spans="1:74" ht="15.75" x14ac:dyDescent="0.3">
      <c r="A20" s="2" t="s">
        <v>54</v>
      </c>
      <c r="B20" s="2" t="s">
        <v>55</v>
      </c>
      <c r="C20" s="2" t="s">
        <v>105</v>
      </c>
      <c r="D20" s="2" t="s">
        <v>57</v>
      </c>
      <c r="E20" s="2" t="s">
        <v>95</v>
      </c>
      <c r="F20" s="2" t="s">
        <v>106</v>
      </c>
      <c r="G20" s="2" t="s">
        <v>60</v>
      </c>
      <c r="H20" s="2" t="s">
        <v>61</v>
      </c>
      <c r="I20" s="2" t="s">
        <v>122</v>
      </c>
      <c r="J20" s="2" t="s">
        <v>123</v>
      </c>
      <c r="K20" s="2" t="s">
        <v>123</v>
      </c>
      <c r="L20" s="2" t="s">
        <v>124</v>
      </c>
      <c r="M20" s="2">
        <v>0</v>
      </c>
      <c r="N20" s="2" t="s">
        <v>125</v>
      </c>
      <c r="O20" s="2" t="s">
        <v>126</v>
      </c>
      <c r="P20" s="2" t="s">
        <v>80</v>
      </c>
      <c r="Q20" s="2" t="s">
        <v>69</v>
      </c>
      <c r="R20" s="2" t="s">
        <v>70</v>
      </c>
      <c r="S20" s="2" t="s">
        <v>127</v>
      </c>
      <c r="T20" s="2" t="s">
        <v>128</v>
      </c>
      <c r="U20" s="2" t="s">
        <v>129</v>
      </c>
      <c r="V20" s="2" t="s">
        <v>128</v>
      </c>
      <c r="W20" s="2" t="s">
        <v>74</v>
      </c>
      <c r="X20" s="38">
        <v>1003</v>
      </c>
      <c r="Y20" s="38">
        <v>423</v>
      </c>
      <c r="Z20" s="38">
        <v>580</v>
      </c>
      <c r="AA20" s="38">
        <v>794</v>
      </c>
      <c r="AB20" s="38">
        <v>313</v>
      </c>
      <c r="AC20" s="38">
        <v>481</v>
      </c>
      <c r="AD20" s="38">
        <v>22</v>
      </c>
      <c r="AE20" s="38">
        <v>9</v>
      </c>
      <c r="AF20" s="38">
        <v>13</v>
      </c>
      <c r="AG20" s="38">
        <v>0</v>
      </c>
      <c r="AH20" s="38">
        <v>0</v>
      </c>
      <c r="AI20" s="38">
        <v>0</v>
      </c>
      <c r="AJ20" s="38">
        <v>187</v>
      </c>
      <c r="AK20" s="37">
        <v>18.64406779661017</v>
      </c>
      <c r="AL20" s="40">
        <f t="shared" si="0"/>
        <v>101</v>
      </c>
      <c r="AM20" s="37">
        <f t="shared" si="1"/>
        <v>23.877068557919621</v>
      </c>
      <c r="AN20" s="40">
        <f t="shared" si="2"/>
        <v>86</v>
      </c>
      <c r="AO20" s="37">
        <f t="shared" si="3"/>
        <v>14.827586206896552</v>
      </c>
      <c r="AP20" s="38">
        <v>1035</v>
      </c>
      <c r="AQ20" s="38">
        <v>457</v>
      </c>
      <c r="AR20" s="38">
        <v>578</v>
      </c>
      <c r="AS20" s="38">
        <v>341</v>
      </c>
      <c r="AT20" s="38">
        <v>166</v>
      </c>
      <c r="AU20" s="38">
        <v>175</v>
      </c>
      <c r="AV20" s="38">
        <v>247</v>
      </c>
      <c r="AW20" s="38">
        <v>98</v>
      </c>
      <c r="AX20" s="38">
        <v>149</v>
      </c>
      <c r="AY20" s="38">
        <v>980</v>
      </c>
      <c r="AZ20" s="38">
        <v>419</v>
      </c>
      <c r="BA20" s="38">
        <v>561</v>
      </c>
      <c r="BB20" s="38">
        <v>39</v>
      </c>
      <c r="BC20" s="37">
        <v>3.9795918367346936</v>
      </c>
      <c r="BD20" s="40">
        <v>30</v>
      </c>
      <c r="BE20" s="37">
        <v>7.1599045346062056</v>
      </c>
      <c r="BF20" s="40">
        <v>9</v>
      </c>
      <c r="BG20" s="37">
        <v>1.6042780748663104</v>
      </c>
      <c r="BH20" s="38">
        <v>247</v>
      </c>
      <c r="BI20" s="38">
        <v>257</v>
      </c>
      <c r="BJ20" s="38">
        <v>105</v>
      </c>
      <c r="BK20" s="38">
        <v>152</v>
      </c>
      <c r="BL20" s="37">
        <v>96.108949416342412</v>
      </c>
      <c r="BM20" s="37">
        <v>93.333333333333329</v>
      </c>
      <c r="BN20" s="37">
        <v>98.026315789473685</v>
      </c>
      <c r="BO20" s="38">
        <v>311</v>
      </c>
      <c r="BP20" s="38">
        <v>145</v>
      </c>
      <c r="BQ20" s="38">
        <v>166</v>
      </c>
      <c r="BR20" s="37">
        <v>79.421221864951761</v>
      </c>
      <c r="BS20" s="37">
        <v>67.58620689655173</v>
      </c>
      <c r="BT20" s="37">
        <v>89.759036144578303</v>
      </c>
      <c r="BU20" s="2"/>
      <c r="BV20" s="2"/>
    </row>
    <row r="21" spans="1:74" ht="15.75" x14ac:dyDescent="0.3">
      <c r="A21" s="2" t="s">
        <v>54</v>
      </c>
      <c r="B21" s="2" t="s">
        <v>55</v>
      </c>
      <c r="C21" s="2" t="s">
        <v>105</v>
      </c>
      <c r="D21" s="2" t="s">
        <v>57</v>
      </c>
      <c r="E21" s="2" t="s">
        <v>95</v>
      </c>
      <c r="F21" s="2" t="s">
        <v>106</v>
      </c>
      <c r="G21" s="2" t="s">
        <v>60</v>
      </c>
      <c r="H21" s="2" t="s">
        <v>61</v>
      </c>
      <c r="I21" s="2" t="s">
        <v>122</v>
      </c>
      <c r="J21" s="2" t="s">
        <v>123</v>
      </c>
      <c r="K21" s="2" t="s">
        <v>123</v>
      </c>
      <c r="L21" s="2" t="s">
        <v>124</v>
      </c>
      <c r="M21" s="2">
        <v>0</v>
      </c>
      <c r="N21" s="2" t="s">
        <v>125</v>
      </c>
      <c r="O21" s="2" t="s">
        <v>126</v>
      </c>
      <c r="P21" s="2" t="s">
        <v>80</v>
      </c>
      <c r="Q21" s="2" t="s">
        <v>69</v>
      </c>
      <c r="R21" s="2" t="s">
        <v>70</v>
      </c>
      <c r="S21" s="2" t="s">
        <v>127</v>
      </c>
      <c r="T21" s="2" t="s">
        <v>128</v>
      </c>
      <c r="U21" s="2" t="s">
        <v>129</v>
      </c>
      <c r="V21" s="2" t="s">
        <v>128</v>
      </c>
      <c r="W21" s="2" t="s">
        <v>113</v>
      </c>
      <c r="X21" s="38">
        <v>715</v>
      </c>
      <c r="Y21" s="38">
        <v>334</v>
      </c>
      <c r="Z21" s="38">
        <v>381</v>
      </c>
      <c r="AA21" s="38">
        <v>451</v>
      </c>
      <c r="AB21" s="38">
        <v>186</v>
      </c>
      <c r="AC21" s="38">
        <v>265</v>
      </c>
      <c r="AD21" s="38">
        <v>29</v>
      </c>
      <c r="AE21" s="38">
        <v>7</v>
      </c>
      <c r="AF21" s="38">
        <v>22</v>
      </c>
      <c r="AG21" s="38">
        <v>0</v>
      </c>
      <c r="AH21" s="38">
        <v>0</v>
      </c>
      <c r="AI21" s="38">
        <v>0</v>
      </c>
      <c r="AJ21" s="38">
        <v>235</v>
      </c>
      <c r="AK21" s="37">
        <v>32.867132867132867</v>
      </c>
      <c r="AL21" s="40">
        <f t="shared" si="0"/>
        <v>141</v>
      </c>
      <c r="AM21" s="37">
        <f t="shared" si="1"/>
        <v>42.215568862275447</v>
      </c>
      <c r="AN21" s="40">
        <f t="shared" si="2"/>
        <v>94</v>
      </c>
      <c r="AO21" s="37">
        <f t="shared" si="3"/>
        <v>24.671916010498688</v>
      </c>
      <c r="AP21" s="38">
        <v>768</v>
      </c>
      <c r="AQ21" s="38">
        <v>371</v>
      </c>
      <c r="AR21" s="38">
        <v>397</v>
      </c>
      <c r="AS21" s="38">
        <v>305</v>
      </c>
      <c r="AT21" s="38">
        <v>150</v>
      </c>
      <c r="AU21" s="38">
        <v>155</v>
      </c>
      <c r="AV21" s="38">
        <v>215</v>
      </c>
      <c r="AW21" s="38">
        <v>88</v>
      </c>
      <c r="AX21" s="38">
        <v>127</v>
      </c>
      <c r="AY21" s="38">
        <v>841</v>
      </c>
      <c r="AZ21" s="38">
        <v>407</v>
      </c>
      <c r="BA21" s="38">
        <v>434</v>
      </c>
      <c r="BB21" s="38">
        <v>163</v>
      </c>
      <c r="BC21" s="37">
        <v>19.381688466111772</v>
      </c>
      <c r="BD21" s="40">
        <v>98</v>
      </c>
      <c r="BE21" s="37">
        <v>24.078624078624077</v>
      </c>
      <c r="BF21" s="40">
        <v>65</v>
      </c>
      <c r="BG21" s="37">
        <v>14.976958525345621</v>
      </c>
      <c r="BH21" s="38">
        <v>215</v>
      </c>
      <c r="BI21" s="38">
        <v>232</v>
      </c>
      <c r="BJ21" s="38">
        <v>98</v>
      </c>
      <c r="BK21" s="38">
        <v>134</v>
      </c>
      <c r="BL21" s="37">
        <v>92.672413793103445</v>
      </c>
      <c r="BM21" s="37">
        <v>89.795918367346943</v>
      </c>
      <c r="BN21" s="37">
        <v>94.776119402985074</v>
      </c>
      <c r="BO21" s="38">
        <v>412</v>
      </c>
      <c r="BP21" s="38">
        <v>210</v>
      </c>
      <c r="BQ21" s="38">
        <v>202</v>
      </c>
      <c r="BR21" s="37">
        <v>52.184466019417478</v>
      </c>
      <c r="BS21" s="37">
        <v>41.904761904761905</v>
      </c>
      <c r="BT21" s="37">
        <v>62.871287128712872</v>
      </c>
      <c r="BU21" s="2"/>
      <c r="BV21" s="2"/>
    </row>
    <row r="22" spans="1:74" ht="15.75" x14ac:dyDescent="0.3">
      <c r="A22" s="2" t="s">
        <v>54</v>
      </c>
      <c r="B22" s="2" t="s">
        <v>55</v>
      </c>
      <c r="C22" s="2" t="s">
        <v>105</v>
      </c>
      <c r="D22" s="2" t="s">
        <v>57</v>
      </c>
      <c r="E22" s="2" t="s">
        <v>95</v>
      </c>
      <c r="F22" s="2" t="s">
        <v>106</v>
      </c>
      <c r="G22" s="2" t="s">
        <v>60</v>
      </c>
      <c r="H22" s="2" t="s">
        <v>61</v>
      </c>
      <c r="I22" s="2" t="s">
        <v>130</v>
      </c>
      <c r="J22" s="2" t="s">
        <v>130</v>
      </c>
      <c r="K22" s="2" t="s">
        <v>131</v>
      </c>
      <c r="L22" s="2" t="s">
        <v>132</v>
      </c>
      <c r="M22" s="2">
        <v>0</v>
      </c>
      <c r="N22" s="2" t="s">
        <v>133</v>
      </c>
      <c r="O22" s="2" t="s">
        <v>134</v>
      </c>
      <c r="P22" s="2" t="s">
        <v>80</v>
      </c>
      <c r="Q22" s="2" t="s">
        <v>135</v>
      </c>
      <c r="R22" s="2" t="s">
        <v>136</v>
      </c>
      <c r="S22" s="2" t="s">
        <v>137</v>
      </c>
      <c r="T22" s="2" t="s">
        <v>138</v>
      </c>
      <c r="U22" s="2" t="s">
        <v>139</v>
      </c>
      <c r="V22" s="2" t="s">
        <v>138</v>
      </c>
      <c r="W22" s="2" t="s">
        <v>74</v>
      </c>
      <c r="X22" s="38">
        <v>383</v>
      </c>
      <c r="Y22" s="38">
        <v>171</v>
      </c>
      <c r="Z22" s="38">
        <v>212</v>
      </c>
      <c r="AA22" s="38">
        <v>321</v>
      </c>
      <c r="AB22" s="38">
        <v>131</v>
      </c>
      <c r="AC22" s="38">
        <v>190</v>
      </c>
      <c r="AD22" s="38">
        <v>6</v>
      </c>
      <c r="AE22" s="38">
        <v>5</v>
      </c>
      <c r="AF22" s="38">
        <v>1</v>
      </c>
      <c r="AG22" s="38">
        <v>0</v>
      </c>
      <c r="AH22" s="38">
        <v>0</v>
      </c>
      <c r="AI22" s="38">
        <v>0</v>
      </c>
      <c r="AJ22" s="38">
        <v>56</v>
      </c>
      <c r="AK22" s="37">
        <v>14.621409921671018</v>
      </c>
      <c r="AL22" s="40">
        <f t="shared" si="0"/>
        <v>35</v>
      </c>
      <c r="AM22" s="37">
        <f t="shared" si="1"/>
        <v>20.467836257309941</v>
      </c>
      <c r="AN22" s="40">
        <f t="shared" si="2"/>
        <v>21</v>
      </c>
      <c r="AO22" s="37">
        <f t="shared" si="3"/>
        <v>9.9056603773584904</v>
      </c>
      <c r="AP22" s="38">
        <v>459</v>
      </c>
      <c r="AQ22" s="38">
        <v>205</v>
      </c>
      <c r="AR22" s="38">
        <v>254</v>
      </c>
      <c r="AS22" s="38">
        <v>154</v>
      </c>
      <c r="AT22" s="38">
        <v>70</v>
      </c>
      <c r="AU22" s="38">
        <v>84</v>
      </c>
      <c r="AV22" s="38">
        <v>91</v>
      </c>
      <c r="AW22" s="38">
        <v>39</v>
      </c>
      <c r="AX22" s="38">
        <v>52</v>
      </c>
      <c r="AY22" s="38">
        <v>387</v>
      </c>
      <c r="AZ22" s="38">
        <v>176</v>
      </c>
      <c r="BA22" s="38">
        <v>211</v>
      </c>
      <c r="BB22" s="38">
        <v>-9</v>
      </c>
      <c r="BC22" s="37">
        <v>-2.3255813953488373</v>
      </c>
      <c r="BD22" s="40">
        <v>2</v>
      </c>
      <c r="BE22" s="37">
        <v>1.1363636363636365</v>
      </c>
      <c r="BF22" s="40">
        <v>-11</v>
      </c>
      <c r="BG22" s="37">
        <v>-5.2132701421800949</v>
      </c>
      <c r="BH22" s="38">
        <v>91</v>
      </c>
      <c r="BI22" s="38">
        <v>99</v>
      </c>
      <c r="BJ22" s="38">
        <v>45</v>
      </c>
      <c r="BK22" s="38">
        <v>54</v>
      </c>
      <c r="BL22" s="37">
        <v>91.919191919191917</v>
      </c>
      <c r="BM22" s="37">
        <v>86.666666666666671</v>
      </c>
      <c r="BN22" s="37">
        <v>96.296296296296291</v>
      </c>
      <c r="BO22" s="38">
        <v>120</v>
      </c>
      <c r="BP22" s="38">
        <v>62</v>
      </c>
      <c r="BQ22" s="38">
        <v>58</v>
      </c>
      <c r="BR22" s="37">
        <v>75.833333333333329</v>
      </c>
      <c r="BS22" s="37">
        <v>62.903225806451616</v>
      </c>
      <c r="BT22" s="37">
        <v>89.65517241379311</v>
      </c>
      <c r="BU22" s="2"/>
      <c r="BV22" s="2"/>
    </row>
    <row r="23" spans="1:74" ht="15.75" x14ac:dyDescent="0.3">
      <c r="A23" s="2" t="s">
        <v>54</v>
      </c>
      <c r="B23" s="2" t="s">
        <v>55</v>
      </c>
      <c r="C23" s="2" t="s">
        <v>105</v>
      </c>
      <c r="D23" s="2" t="s">
        <v>57</v>
      </c>
      <c r="E23" s="2" t="s">
        <v>95</v>
      </c>
      <c r="F23" s="2" t="s">
        <v>106</v>
      </c>
      <c r="G23" s="2" t="s">
        <v>60</v>
      </c>
      <c r="H23" s="2" t="s">
        <v>61</v>
      </c>
      <c r="I23" s="2" t="s">
        <v>130</v>
      </c>
      <c r="J23" s="2" t="s">
        <v>130</v>
      </c>
      <c r="K23" s="2" t="s">
        <v>131</v>
      </c>
      <c r="L23" s="2" t="s">
        <v>132</v>
      </c>
      <c r="M23" s="2">
        <v>0</v>
      </c>
      <c r="N23" s="2" t="s">
        <v>133</v>
      </c>
      <c r="O23" s="2" t="s">
        <v>134</v>
      </c>
      <c r="P23" s="2" t="s">
        <v>80</v>
      </c>
      <c r="Q23" s="2" t="s">
        <v>135</v>
      </c>
      <c r="R23" s="2" t="s">
        <v>136</v>
      </c>
      <c r="S23" s="2" t="s">
        <v>137</v>
      </c>
      <c r="T23" s="2" t="s">
        <v>138</v>
      </c>
      <c r="U23" s="2" t="s">
        <v>139</v>
      </c>
      <c r="V23" s="2" t="s">
        <v>138</v>
      </c>
      <c r="W23" s="2" t="s">
        <v>113</v>
      </c>
      <c r="X23" s="38">
        <v>159</v>
      </c>
      <c r="Y23" s="38">
        <v>92</v>
      </c>
      <c r="Z23" s="38">
        <v>67</v>
      </c>
      <c r="AA23" s="38">
        <v>130</v>
      </c>
      <c r="AB23" s="38">
        <v>75</v>
      </c>
      <c r="AC23" s="38">
        <v>55</v>
      </c>
      <c r="AD23" s="38">
        <v>1</v>
      </c>
      <c r="AE23" s="38">
        <v>0</v>
      </c>
      <c r="AF23" s="38">
        <v>1</v>
      </c>
      <c r="AG23" s="38">
        <v>0</v>
      </c>
      <c r="AH23" s="38">
        <v>0</v>
      </c>
      <c r="AI23" s="38">
        <v>0</v>
      </c>
      <c r="AJ23" s="38">
        <v>28</v>
      </c>
      <c r="AK23" s="37">
        <v>17.610062893081761</v>
      </c>
      <c r="AL23" s="40">
        <f t="shared" si="0"/>
        <v>17</v>
      </c>
      <c r="AM23" s="37">
        <f t="shared" si="1"/>
        <v>18.478260869565215</v>
      </c>
      <c r="AN23" s="40">
        <f t="shared" si="2"/>
        <v>11</v>
      </c>
      <c r="AO23" s="37">
        <f t="shared" si="3"/>
        <v>16.417910447761194</v>
      </c>
      <c r="AP23" s="38">
        <v>164</v>
      </c>
      <c r="AQ23" s="38">
        <v>93</v>
      </c>
      <c r="AR23" s="38">
        <v>71</v>
      </c>
      <c r="AS23" s="38">
        <v>71</v>
      </c>
      <c r="AT23" s="38">
        <v>36</v>
      </c>
      <c r="AU23" s="38">
        <v>35</v>
      </c>
      <c r="AV23" s="38">
        <v>30</v>
      </c>
      <c r="AW23" s="38">
        <v>16</v>
      </c>
      <c r="AX23" s="38">
        <v>14</v>
      </c>
      <c r="AY23" s="38">
        <v>179</v>
      </c>
      <c r="AZ23" s="38">
        <v>99</v>
      </c>
      <c r="BA23" s="38">
        <v>80</v>
      </c>
      <c r="BB23" s="38">
        <v>56</v>
      </c>
      <c r="BC23" s="37">
        <v>31.284916201117319</v>
      </c>
      <c r="BD23" s="40">
        <v>26</v>
      </c>
      <c r="BE23" s="37">
        <v>26.262626262626267</v>
      </c>
      <c r="BF23" s="40">
        <v>30</v>
      </c>
      <c r="BG23" s="37">
        <v>37.5</v>
      </c>
      <c r="BH23" s="38">
        <v>30</v>
      </c>
      <c r="BI23" s="38">
        <v>35</v>
      </c>
      <c r="BJ23" s="38">
        <v>19</v>
      </c>
      <c r="BK23" s="38">
        <v>16</v>
      </c>
      <c r="BL23" s="37">
        <v>85.714285714285708</v>
      </c>
      <c r="BM23" s="37">
        <v>84.210526315789465</v>
      </c>
      <c r="BN23" s="37">
        <v>87.5</v>
      </c>
      <c r="BO23" s="38">
        <v>73</v>
      </c>
      <c r="BP23" s="38">
        <v>37</v>
      </c>
      <c r="BQ23" s="38">
        <v>36</v>
      </c>
      <c r="BR23" s="37">
        <v>41.095890410958901</v>
      </c>
      <c r="BS23" s="37">
        <v>43.243243243243242</v>
      </c>
      <c r="BT23" s="37">
        <v>38.888888888888893</v>
      </c>
      <c r="BU23" s="2"/>
      <c r="BV23" s="2"/>
    </row>
    <row r="24" spans="1:74" ht="15.75" x14ac:dyDescent="0.3">
      <c r="A24" s="2" t="s">
        <v>54</v>
      </c>
      <c r="B24" s="2" t="s">
        <v>55</v>
      </c>
      <c r="C24" s="2" t="s">
        <v>105</v>
      </c>
      <c r="D24" s="2" t="s">
        <v>57</v>
      </c>
      <c r="E24" s="2" t="s">
        <v>95</v>
      </c>
      <c r="F24" s="2" t="s">
        <v>106</v>
      </c>
      <c r="G24" s="2" t="s">
        <v>60</v>
      </c>
      <c r="H24" s="2" t="s">
        <v>61</v>
      </c>
      <c r="I24" s="2" t="s">
        <v>140</v>
      </c>
      <c r="J24" s="2" t="s">
        <v>140</v>
      </c>
      <c r="K24" s="2" t="s">
        <v>76</v>
      </c>
      <c r="L24" s="2" t="s">
        <v>141</v>
      </c>
      <c r="M24" s="2">
        <v>0</v>
      </c>
      <c r="N24" s="2" t="s">
        <v>142</v>
      </c>
      <c r="O24" s="2" t="s">
        <v>143</v>
      </c>
      <c r="P24" s="2" t="s">
        <v>80</v>
      </c>
      <c r="Q24" s="2" t="s">
        <v>144</v>
      </c>
      <c r="R24" s="2" t="s">
        <v>145</v>
      </c>
      <c r="S24" s="2" t="s">
        <v>146</v>
      </c>
      <c r="T24" s="2" t="s">
        <v>147</v>
      </c>
      <c r="U24" s="2" t="s">
        <v>148</v>
      </c>
      <c r="V24" s="2" t="s">
        <v>147</v>
      </c>
      <c r="W24" s="2" t="s">
        <v>74</v>
      </c>
      <c r="X24" s="38">
        <v>675</v>
      </c>
      <c r="Y24" s="38">
        <v>279</v>
      </c>
      <c r="Z24" s="38">
        <v>396</v>
      </c>
      <c r="AA24" s="38">
        <v>615</v>
      </c>
      <c r="AB24" s="38">
        <v>233</v>
      </c>
      <c r="AC24" s="38">
        <v>382</v>
      </c>
      <c r="AD24" s="38">
        <v>16</v>
      </c>
      <c r="AE24" s="38">
        <v>13</v>
      </c>
      <c r="AF24" s="38">
        <v>3</v>
      </c>
      <c r="AG24" s="38">
        <v>0</v>
      </c>
      <c r="AH24" s="38">
        <v>0</v>
      </c>
      <c r="AI24" s="38">
        <v>0</v>
      </c>
      <c r="AJ24" s="38">
        <v>44</v>
      </c>
      <c r="AK24" s="37">
        <v>6.5185185185185182</v>
      </c>
      <c r="AL24" s="40">
        <f t="shared" si="0"/>
        <v>33</v>
      </c>
      <c r="AM24" s="37">
        <f t="shared" si="1"/>
        <v>11.827956989247312</v>
      </c>
      <c r="AN24" s="40">
        <f t="shared" si="2"/>
        <v>11</v>
      </c>
      <c r="AO24" s="37">
        <f t="shared" si="3"/>
        <v>2.7777777777777777</v>
      </c>
      <c r="AP24" s="38">
        <v>755</v>
      </c>
      <c r="AQ24" s="38">
        <v>308</v>
      </c>
      <c r="AR24" s="38">
        <v>447</v>
      </c>
      <c r="AS24" s="38">
        <v>287</v>
      </c>
      <c r="AT24" s="38">
        <v>119</v>
      </c>
      <c r="AU24" s="38">
        <v>168</v>
      </c>
      <c r="AV24" s="38">
        <v>180</v>
      </c>
      <c r="AW24" s="38">
        <v>67</v>
      </c>
      <c r="AX24" s="38">
        <v>113</v>
      </c>
      <c r="AY24" s="38">
        <v>676</v>
      </c>
      <c r="AZ24" s="38">
        <v>280</v>
      </c>
      <c r="BA24" s="38">
        <v>396</v>
      </c>
      <c r="BB24" s="38">
        <v>28</v>
      </c>
      <c r="BC24" s="37">
        <v>4.1420118343195274</v>
      </c>
      <c r="BD24" s="40">
        <v>24</v>
      </c>
      <c r="BE24" s="37">
        <v>8.5714285714285712</v>
      </c>
      <c r="BF24" s="40">
        <v>4</v>
      </c>
      <c r="BG24" s="37">
        <v>1.0101010101010102</v>
      </c>
      <c r="BH24" s="38">
        <v>180</v>
      </c>
      <c r="BI24" s="38">
        <v>190</v>
      </c>
      <c r="BJ24" s="38">
        <v>75</v>
      </c>
      <c r="BK24" s="38">
        <v>115</v>
      </c>
      <c r="BL24" s="37">
        <v>94.73684210526315</v>
      </c>
      <c r="BM24" s="37">
        <v>89.333333333333329</v>
      </c>
      <c r="BN24" s="37">
        <v>98.260869565217391</v>
      </c>
      <c r="BO24" s="38">
        <v>215</v>
      </c>
      <c r="BP24" s="38">
        <v>96</v>
      </c>
      <c r="BQ24" s="38">
        <v>119</v>
      </c>
      <c r="BR24" s="37">
        <v>83.720930232558146</v>
      </c>
      <c r="BS24" s="37">
        <v>69.791666666666657</v>
      </c>
      <c r="BT24" s="37">
        <v>94.9579831932773</v>
      </c>
      <c r="BU24" s="2"/>
      <c r="BV24" s="2"/>
    </row>
    <row r="25" spans="1:74" ht="15.75" x14ac:dyDescent="0.3">
      <c r="A25" s="2" t="s">
        <v>54</v>
      </c>
      <c r="B25" s="2" t="s">
        <v>55</v>
      </c>
      <c r="C25" s="2" t="s">
        <v>105</v>
      </c>
      <c r="D25" s="2" t="s">
        <v>57</v>
      </c>
      <c r="E25" s="2" t="s">
        <v>95</v>
      </c>
      <c r="F25" s="2" t="s">
        <v>106</v>
      </c>
      <c r="G25" s="2" t="s">
        <v>60</v>
      </c>
      <c r="H25" s="2" t="s">
        <v>61</v>
      </c>
      <c r="I25" s="2" t="s">
        <v>140</v>
      </c>
      <c r="J25" s="2" t="s">
        <v>140</v>
      </c>
      <c r="K25" s="2" t="s">
        <v>76</v>
      </c>
      <c r="L25" s="2" t="s">
        <v>141</v>
      </c>
      <c r="M25" s="2">
        <v>0</v>
      </c>
      <c r="N25" s="2" t="s">
        <v>142</v>
      </c>
      <c r="O25" s="2" t="s">
        <v>143</v>
      </c>
      <c r="P25" s="2" t="s">
        <v>80</v>
      </c>
      <c r="Q25" s="2" t="s">
        <v>144</v>
      </c>
      <c r="R25" s="2" t="s">
        <v>145</v>
      </c>
      <c r="S25" s="2" t="s">
        <v>146</v>
      </c>
      <c r="T25" s="2" t="s">
        <v>147</v>
      </c>
      <c r="U25" s="2" t="s">
        <v>148</v>
      </c>
      <c r="V25" s="2" t="s">
        <v>147</v>
      </c>
      <c r="W25" s="2" t="s">
        <v>113</v>
      </c>
      <c r="X25" s="38">
        <v>485</v>
      </c>
      <c r="Y25" s="38">
        <v>213</v>
      </c>
      <c r="Z25" s="38">
        <v>272</v>
      </c>
      <c r="AA25" s="38">
        <v>399</v>
      </c>
      <c r="AB25" s="38">
        <v>156</v>
      </c>
      <c r="AC25" s="38">
        <v>243</v>
      </c>
      <c r="AD25" s="38">
        <v>19</v>
      </c>
      <c r="AE25" s="38">
        <v>13</v>
      </c>
      <c r="AF25" s="38">
        <v>6</v>
      </c>
      <c r="AG25" s="38">
        <v>0</v>
      </c>
      <c r="AH25" s="38">
        <v>0</v>
      </c>
      <c r="AI25" s="38">
        <v>0</v>
      </c>
      <c r="AJ25" s="38">
        <v>67</v>
      </c>
      <c r="AK25" s="37">
        <v>13.814432989690722</v>
      </c>
      <c r="AL25" s="40">
        <f t="shared" si="0"/>
        <v>44</v>
      </c>
      <c r="AM25" s="37">
        <f t="shared" si="1"/>
        <v>20.657276995305164</v>
      </c>
      <c r="AN25" s="40">
        <f t="shared" si="2"/>
        <v>23</v>
      </c>
      <c r="AO25" s="37">
        <f t="shared" si="3"/>
        <v>8.4558823529411775</v>
      </c>
      <c r="AP25" s="38">
        <v>567</v>
      </c>
      <c r="AQ25" s="38">
        <v>281</v>
      </c>
      <c r="AR25" s="38">
        <v>286</v>
      </c>
      <c r="AS25" s="38">
        <v>209</v>
      </c>
      <c r="AT25" s="38">
        <v>113</v>
      </c>
      <c r="AU25" s="38">
        <v>96</v>
      </c>
      <c r="AV25" s="38">
        <v>122</v>
      </c>
      <c r="AW25" s="38">
        <v>44</v>
      </c>
      <c r="AX25" s="38">
        <v>78</v>
      </c>
      <c r="AY25" s="38">
        <v>516</v>
      </c>
      <c r="AZ25" s="38">
        <v>231</v>
      </c>
      <c r="BA25" s="38">
        <v>285</v>
      </c>
      <c r="BB25" s="38">
        <v>36</v>
      </c>
      <c r="BC25" s="37">
        <v>6.9767441860465116</v>
      </c>
      <c r="BD25" s="40">
        <v>19</v>
      </c>
      <c r="BE25" s="37">
        <v>8.2251082251082259</v>
      </c>
      <c r="BF25" s="40">
        <v>17</v>
      </c>
      <c r="BG25" s="37">
        <v>5.9649122807017543</v>
      </c>
      <c r="BH25" s="38">
        <v>122</v>
      </c>
      <c r="BI25" s="38">
        <v>135</v>
      </c>
      <c r="BJ25" s="38">
        <v>50</v>
      </c>
      <c r="BK25" s="38">
        <v>85</v>
      </c>
      <c r="BL25" s="37">
        <v>90.370370370370367</v>
      </c>
      <c r="BM25" s="37">
        <v>88</v>
      </c>
      <c r="BN25" s="37">
        <v>91.764705882352942</v>
      </c>
      <c r="BO25" s="38">
        <v>237</v>
      </c>
      <c r="BP25" s="38">
        <v>109</v>
      </c>
      <c r="BQ25" s="38">
        <v>128</v>
      </c>
      <c r="BR25" s="37">
        <v>51.47679324894515</v>
      </c>
      <c r="BS25" s="37">
        <v>40.366972477064223</v>
      </c>
      <c r="BT25" s="37">
        <v>60.9375</v>
      </c>
      <c r="BU25" s="2"/>
      <c r="BV25" s="2"/>
    </row>
    <row r="26" spans="1:74" ht="15.75" x14ac:dyDescent="0.3">
      <c r="A26" s="2" t="s">
        <v>54</v>
      </c>
      <c r="B26" s="2" t="s">
        <v>55</v>
      </c>
      <c r="C26" s="2" t="s">
        <v>105</v>
      </c>
      <c r="D26" s="2" t="s">
        <v>57</v>
      </c>
      <c r="E26" s="2" t="s">
        <v>95</v>
      </c>
      <c r="F26" s="2" t="s">
        <v>106</v>
      </c>
      <c r="G26" s="2" t="s">
        <v>149</v>
      </c>
      <c r="H26" s="2" t="s">
        <v>149</v>
      </c>
      <c r="I26" s="2" t="s">
        <v>150</v>
      </c>
      <c r="J26" s="2" t="s">
        <v>151</v>
      </c>
      <c r="K26" s="2" t="s">
        <v>76</v>
      </c>
      <c r="L26" s="2" t="s">
        <v>152</v>
      </c>
      <c r="M26" s="2">
        <v>0</v>
      </c>
      <c r="N26" s="2" t="s">
        <v>153</v>
      </c>
      <c r="O26" s="2" t="s">
        <v>80</v>
      </c>
      <c r="P26" s="2" t="s">
        <v>80</v>
      </c>
      <c r="Q26" s="2" t="s">
        <v>144</v>
      </c>
      <c r="R26" s="2" t="s">
        <v>145</v>
      </c>
      <c r="S26" s="2" t="s">
        <v>154</v>
      </c>
      <c r="T26" s="2" t="s">
        <v>155</v>
      </c>
      <c r="U26" s="2" t="s">
        <v>156</v>
      </c>
      <c r="V26" s="2" t="s">
        <v>155</v>
      </c>
      <c r="W26" s="2" t="s">
        <v>74</v>
      </c>
      <c r="X26" s="38">
        <v>409</v>
      </c>
      <c r="Y26" s="38">
        <v>167</v>
      </c>
      <c r="Z26" s="38">
        <v>242</v>
      </c>
      <c r="AA26" s="38">
        <v>355</v>
      </c>
      <c r="AB26" s="38">
        <v>131</v>
      </c>
      <c r="AC26" s="38">
        <v>224</v>
      </c>
      <c r="AD26" s="38">
        <v>5</v>
      </c>
      <c r="AE26" s="38">
        <v>5</v>
      </c>
      <c r="AF26" s="38">
        <v>0</v>
      </c>
      <c r="AG26" s="38">
        <v>0</v>
      </c>
      <c r="AH26" s="38">
        <v>0</v>
      </c>
      <c r="AI26" s="38">
        <v>0</v>
      </c>
      <c r="AJ26" s="38">
        <v>49</v>
      </c>
      <c r="AK26" s="37">
        <v>11.98044009779951</v>
      </c>
      <c r="AL26" s="40">
        <f t="shared" si="0"/>
        <v>31</v>
      </c>
      <c r="AM26" s="37">
        <f t="shared" si="1"/>
        <v>18.562874251497004</v>
      </c>
      <c r="AN26" s="40">
        <f t="shared" si="2"/>
        <v>18</v>
      </c>
      <c r="AO26" s="37">
        <f t="shared" si="3"/>
        <v>7.4380165289256199</v>
      </c>
      <c r="AP26" s="38">
        <v>438</v>
      </c>
      <c r="AQ26" s="38">
        <v>171</v>
      </c>
      <c r="AR26" s="38">
        <v>267</v>
      </c>
      <c r="AS26" s="38">
        <v>151</v>
      </c>
      <c r="AT26" s="38">
        <v>60</v>
      </c>
      <c r="AU26" s="38">
        <v>91</v>
      </c>
      <c r="AV26" s="38">
        <v>118</v>
      </c>
      <c r="AW26" s="38">
        <v>52</v>
      </c>
      <c r="AX26" s="38">
        <v>66</v>
      </c>
      <c r="AY26" s="38">
        <v>514</v>
      </c>
      <c r="AZ26" s="38">
        <v>209</v>
      </c>
      <c r="BA26" s="38">
        <v>305</v>
      </c>
      <c r="BB26" s="38">
        <v>109</v>
      </c>
      <c r="BC26" s="37">
        <v>21.206225680933851</v>
      </c>
      <c r="BD26" s="40">
        <v>46</v>
      </c>
      <c r="BE26" s="37">
        <v>22.009569377990431</v>
      </c>
      <c r="BF26" s="40">
        <v>63</v>
      </c>
      <c r="BG26" s="37">
        <v>20.655737704918035</v>
      </c>
      <c r="BH26" s="38">
        <v>118</v>
      </c>
      <c r="BI26" s="38">
        <v>181</v>
      </c>
      <c r="BJ26" s="38">
        <v>77</v>
      </c>
      <c r="BK26" s="38">
        <v>104</v>
      </c>
      <c r="BL26" s="37">
        <v>65.193370165745861</v>
      </c>
      <c r="BM26" s="37">
        <v>67.532467532467535</v>
      </c>
      <c r="BN26" s="37">
        <v>63.46153846153846</v>
      </c>
      <c r="BO26" s="38">
        <v>149</v>
      </c>
      <c r="BP26" s="38">
        <v>80</v>
      </c>
      <c r="BQ26" s="38">
        <v>69</v>
      </c>
      <c r="BR26" s="37">
        <v>79.194630872483216</v>
      </c>
      <c r="BS26" s="37">
        <v>65</v>
      </c>
      <c r="BT26" s="37">
        <v>95.652173913043484</v>
      </c>
      <c r="BU26" s="2"/>
      <c r="BV26" s="2"/>
    </row>
    <row r="27" spans="1:74" ht="15.75" x14ac:dyDescent="0.3">
      <c r="A27" s="2" t="s">
        <v>54</v>
      </c>
      <c r="B27" s="2" t="s">
        <v>55</v>
      </c>
      <c r="C27" s="2" t="s">
        <v>105</v>
      </c>
      <c r="D27" s="2" t="s">
        <v>57</v>
      </c>
      <c r="E27" s="2" t="s">
        <v>95</v>
      </c>
      <c r="F27" s="2" t="s">
        <v>106</v>
      </c>
      <c r="G27" s="2" t="s">
        <v>149</v>
      </c>
      <c r="H27" s="2" t="s">
        <v>149</v>
      </c>
      <c r="I27" s="2" t="s">
        <v>150</v>
      </c>
      <c r="J27" s="2" t="s">
        <v>151</v>
      </c>
      <c r="K27" s="2" t="s">
        <v>76</v>
      </c>
      <c r="L27" s="2" t="s">
        <v>152</v>
      </c>
      <c r="M27" s="2">
        <v>0</v>
      </c>
      <c r="N27" s="2" t="s">
        <v>153</v>
      </c>
      <c r="O27" s="2" t="s">
        <v>80</v>
      </c>
      <c r="P27" s="2" t="s">
        <v>80</v>
      </c>
      <c r="Q27" s="2" t="s">
        <v>144</v>
      </c>
      <c r="R27" s="2" t="s">
        <v>145</v>
      </c>
      <c r="S27" s="2" t="s">
        <v>154</v>
      </c>
      <c r="T27" s="2" t="s">
        <v>155</v>
      </c>
      <c r="U27" s="2" t="s">
        <v>156</v>
      </c>
      <c r="V27" s="2" t="s">
        <v>155</v>
      </c>
      <c r="W27" s="2" t="s">
        <v>113</v>
      </c>
      <c r="X27" s="38">
        <v>205</v>
      </c>
      <c r="Y27" s="38">
        <v>92</v>
      </c>
      <c r="Z27" s="38">
        <v>113</v>
      </c>
      <c r="AA27" s="38">
        <v>176</v>
      </c>
      <c r="AB27" s="38">
        <v>73</v>
      </c>
      <c r="AC27" s="38">
        <v>103</v>
      </c>
      <c r="AD27" s="38">
        <v>3</v>
      </c>
      <c r="AE27" s="38">
        <v>3</v>
      </c>
      <c r="AF27" s="38">
        <v>0</v>
      </c>
      <c r="AG27" s="38">
        <v>0</v>
      </c>
      <c r="AH27" s="38">
        <v>0</v>
      </c>
      <c r="AI27" s="38">
        <v>0</v>
      </c>
      <c r="AJ27" s="38">
        <v>26</v>
      </c>
      <c r="AK27" s="37">
        <v>12.682926829268293</v>
      </c>
      <c r="AL27" s="40">
        <f t="shared" si="0"/>
        <v>16</v>
      </c>
      <c r="AM27" s="37">
        <f t="shared" si="1"/>
        <v>17.391304347826086</v>
      </c>
      <c r="AN27" s="40">
        <f t="shared" si="2"/>
        <v>10</v>
      </c>
      <c r="AO27" s="37">
        <f t="shared" si="3"/>
        <v>8.8495575221238933</v>
      </c>
      <c r="AP27" s="38">
        <v>325</v>
      </c>
      <c r="AQ27" s="38">
        <v>164</v>
      </c>
      <c r="AR27" s="38">
        <v>161</v>
      </c>
      <c r="AS27" s="38">
        <v>181</v>
      </c>
      <c r="AT27" s="38">
        <v>95</v>
      </c>
      <c r="AU27" s="38">
        <v>86</v>
      </c>
      <c r="AV27" s="38">
        <v>52</v>
      </c>
      <c r="AW27" s="38">
        <v>20</v>
      </c>
      <c r="AX27" s="38">
        <v>32</v>
      </c>
      <c r="AY27" s="38">
        <v>117</v>
      </c>
      <c r="AZ27" s="38">
        <v>63</v>
      </c>
      <c r="BA27" s="38">
        <v>54</v>
      </c>
      <c r="BB27" s="38">
        <v>-79</v>
      </c>
      <c r="BC27" s="37">
        <v>-67.521367521367523</v>
      </c>
      <c r="BD27" s="40">
        <v>-26</v>
      </c>
      <c r="BE27" s="37">
        <v>-41.269841269841265</v>
      </c>
      <c r="BF27" s="40">
        <v>-53</v>
      </c>
      <c r="BG27" s="37">
        <v>-98.148148148148152</v>
      </c>
      <c r="BH27" s="38">
        <v>52</v>
      </c>
      <c r="BI27" s="38">
        <v>0</v>
      </c>
      <c r="BJ27" s="38">
        <v>0</v>
      </c>
      <c r="BK27" s="38">
        <v>0</v>
      </c>
      <c r="BL27" s="42" t="s">
        <v>1860</v>
      </c>
      <c r="BM27" s="37" t="s">
        <v>1860</v>
      </c>
      <c r="BN27" s="37" t="s">
        <v>1860</v>
      </c>
      <c r="BO27" s="38">
        <v>91</v>
      </c>
      <c r="BP27" s="38">
        <v>46</v>
      </c>
      <c r="BQ27" s="38">
        <v>45</v>
      </c>
      <c r="BR27" s="37">
        <v>57.142857142857139</v>
      </c>
      <c r="BS27" s="37">
        <v>43.478260869565219</v>
      </c>
      <c r="BT27" s="37">
        <v>71.111111111111114</v>
      </c>
      <c r="BU27" s="2"/>
      <c r="BV27" s="2"/>
    </row>
    <row r="28" spans="1:74" ht="15.75" x14ac:dyDescent="0.3">
      <c r="A28" s="2" t="s">
        <v>54</v>
      </c>
      <c r="B28" s="2" t="s">
        <v>55</v>
      </c>
      <c r="C28" s="2" t="s">
        <v>105</v>
      </c>
      <c r="D28" s="2" t="s">
        <v>57</v>
      </c>
      <c r="E28" s="2" t="s">
        <v>95</v>
      </c>
      <c r="F28" s="2" t="s">
        <v>106</v>
      </c>
      <c r="G28" s="2" t="s">
        <v>60</v>
      </c>
      <c r="H28" s="2" t="s">
        <v>61</v>
      </c>
      <c r="I28" s="2" t="s">
        <v>157</v>
      </c>
      <c r="J28" s="2" t="s">
        <v>158</v>
      </c>
      <c r="K28" s="2" t="s">
        <v>159</v>
      </c>
      <c r="L28" s="2" t="s">
        <v>160</v>
      </c>
      <c r="M28" s="2">
        <v>33</v>
      </c>
      <c r="N28" s="2" t="s">
        <v>161</v>
      </c>
      <c r="O28" s="2" t="s">
        <v>80</v>
      </c>
      <c r="P28" s="2" t="s">
        <v>80</v>
      </c>
      <c r="Q28" s="2" t="s">
        <v>69</v>
      </c>
      <c r="R28" s="2" t="s">
        <v>70</v>
      </c>
      <c r="S28" s="2" t="s">
        <v>162</v>
      </c>
      <c r="T28" s="2" t="s">
        <v>163</v>
      </c>
      <c r="U28" s="2" t="s">
        <v>164</v>
      </c>
      <c r="V28" s="2" t="s">
        <v>163</v>
      </c>
      <c r="W28" s="2" t="s">
        <v>74</v>
      </c>
      <c r="X28" s="38">
        <v>580</v>
      </c>
      <c r="Y28" s="38">
        <v>229</v>
      </c>
      <c r="Z28" s="38">
        <v>351</v>
      </c>
      <c r="AA28" s="38">
        <v>435</v>
      </c>
      <c r="AB28" s="38">
        <v>161</v>
      </c>
      <c r="AC28" s="38">
        <v>274</v>
      </c>
      <c r="AD28" s="38">
        <v>26</v>
      </c>
      <c r="AE28" s="38">
        <v>9</v>
      </c>
      <c r="AF28" s="38">
        <v>17</v>
      </c>
      <c r="AG28" s="38">
        <v>0</v>
      </c>
      <c r="AH28" s="38">
        <v>0</v>
      </c>
      <c r="AI28" s="38">
        <v>0</v>
      </c>
      <c r="AJ28" s="38">
        <v>119</v>
      </c>
      <c r="AK28" s="37">
        <v>20.517241379310345</v>
      </c>
      <c r="AL28" s="40">
        <f t="shared" si="0"/>
        <v>59</v>
      </c>
      <c r="AM28" s="37">
        <f t="shared" si="1"/>
        <v>25.76419213973799</v>
      </c>
      <c r="AN28" s="40">
        <f t="shared" si="2"/>
        <v>60</v>
      </c>
      <c r="AO28" s="37">
        <f t="shared" si="3"/>
        <v>17.094017094017094</v>
      </c>
      <c r="AP28" s="38">
        <v>626</v>
      </c>
      <c r="AQ28" s="38">
        <v>271</v>
      </c>
      <c r="AR28" s="38">
        <v>355</v>
      </c>
      <c r="AS28" s="38">
        <v>212</v>
      </c>
      <c r="AT28" s="38">
        <v>104</v>
      </c>
      <c r="AU28" s="38">
        <v>108</v>
      </c>
      <c r="AV28" s="38">
        <v>158</v>
      </c>
      <c r="AW28" s="38">
        <v>56</v>
      </c>
      <c r="AX28" s="38">
        <v>102</v>
      </c>
      <c r="AY28" s="38">
        <v>676</v>
      </c>
      <c r="AZ28" s="38">
        <v>288</v>
      </c>
      <c r="BA28" s="38">
        <v>388</v>
      </c>
      <c r="BB28" s="38">
        <v>104</v>
      </c>
      <c r="BC28" s="37">
        <v>15.384615384615385</v>
      </c>
      <c r="BD28" s="40">
        <v>65</v>
      </c>
      <c r="BE28" s="37">
        <v>22.569444444444446</v>
      </c>
      <c r="BF28" s="40">
        <v>39</v>
      </c>
      <c r="BG28" s="37">
        <v>10.051546391752577</v>
      </c>
      <c r="BH28" s="38">
        <v>158</v>
      </c>
      <c r="BI28" s="38">
        <v>190</v>
      </c>
      <c r="BJ28" s="38">
        <v>80</v>
      </c>
      <c r="BK28" s="38">
        <v>110</v>
      </c>
      <c r="BL28" s="37">
        <v>83.15789473684211</v>
      </c>
      <c r="BM28" s="37">
        <v>70</v>
      </c>
      <c r="BN28" s="37">
        <v>92.72727272727272</v>
      </c>
      <c r="BO28" s="38">
        <v>210</v>
      </c>
      <c r="BP28" s="38">
        <v>91</v>
      </c>
      <c r="BQ28" s="38">
        <v>119</v>
      </c>
      <c r="BR28" s="37">
        <v>75.238095238095241</v>
      </c>
      <c r="BS28" s="37">
        <v>61.53846153846154</v>
      </c>
      <c r="BT28" s="37">
        <v>85.714285714285708</v>
      </c>
      <c r="BU28" s="2"/>
      <c r="BV28" s="2"/>
    </row>
    <row r="29" spans="1:74" ht="15.75" x14ac:dyDescent="0.3">
      <c r="A29" s="2" t="s">
        <v>54</v>
      </c>
      <c r="B29" s="2" t="s">
        <v>55</v>
      </c>
      <c r="C29" s="2" t="s">
        <v>105</v>
      </c>
      <c r="D29" s="2" t="s">
        <v>57</v>
      </c>
      <c r="E29" s="2" t="s">
        <v>95</v>
      </c>
      <c r="F29" s="2" t="s">
        <v>106</v>
      </c>
      <c r="G29" s="2" t="s">
        <v>60</v>
      </c>
      <c r="H29" s="2" t="s">
        <v>61</v>
      </c>
      <c r="I29" s="2" t="s">
        <v>157</v>
      </c>
      <c r="J29" s="2" t="s">
        <v>158</v>
      </c>
      <c r="K29" s="2" t="s">
        <v>159</v>
      </c>
      <c r="L29" s="2" t="s">
        <v>160</v>
      </c>
      <c r="M29" s="2">
        <v>33</v>
      </c>
      <c r="N29" s="2" t="s">
        <v>161</v>
      </c>
      <c r="O29" s="2" t="s">
        <v>80</v>
      </c>
      <c r="P29" s="2" t="s">
        <v>80</v>
      </c>
      <c r="Q29" s="2" t="s">
        <v>69</v>
      </c>
      <c r="R29" s="2" t="s">
        <v>70</v>
      </c>
      <c r="S29" s="2" t="s">
        <v>162</v>
      </c>
      <c r="T29" s="2" t="s">
        <v>163</v>
      </c>
      <c r="U29" s="2" t="s">
        <v>164</v>
      </c>
      <c r="V29" s="2" t="s">
        <v>163</v>
      </c>
      <c r="W29" s="2" t="s">
        <v>113</v>
      </c>
      <c r="X29" s="38">
        <v>478</v>
      </c>
      <c r="Y29" s="38">
        <v>221</v>
      </c>
      <c r="Z29" s="38">
        <v>257</v>
      </c>
      <c r="AA29" s="38">
        <v>292</v>
      </c>
      <c r="AB29" s="38">
        <v>121</v>
      </c>
      <c r="AC29" s="38">
        <v>171</v>
      </c>
      <c r="AD29" s="38">
        <v>24</v>
      </c>
      <c r="AE29" s="38">
        <v>17</v>
      </c>
      <c r="AF29" s="38">
        <v>7</v>
      </c>
      <c r="AG29" s="38">
        <v>0</v>
      </c>
      <c r="AH29" s="38">
        <v>0</v>
      </c>
      <c r="AI29" s="38">
        <v>0</v>
      </c>
      <c r="AJ29" s="38">
        <v>162</v>
      </c>
      <c r="AK29" s="37">
        <v>33.89121338912134</v>
      </c>
      <c r="AL29" s="40">
        <f t="shared" si="0"/>
        <v>83</v>
      </c>
      <c r="AM29" s="37">
        <f t="shared" si="1"/>
        <v>37.556561085972852</v>
      </c>
      <c r="AN29" s="40">
        <f t="shared" si="2"/>
        <v>79</v>
      </c>
      <c r="AO29" s="37">
        <f t="shared" si="3"/>
        <v>30.739299610894943</v>
      </c>
      <c r="AP29" s="38">
        <v>595</v>
      </c>
      <c r="AQ29" s="38">
        <v>295</v>
      </c>
      <c r="AR29" s="38">
        <v>300</v>
      </c>
      <c r="AS29" s="38">
        <v>274</v>
      </c>
      <c r="AT29" s="38">
        <v>140</v>
      </c>
      <c r="AU29" s="38">
        <v>134</v>
      </c>
      <c r="AV29" s="38">
        <v>108</v>
      </c>
      <c r="AW29" s="38">
        <v>44</v>
      </c>
      <c r="AX29" s="38">
        <v>64</v>
      </c>
      <c r="AY29" s="38">
        <v>443</v>
      </c>
      <c r="AZ29" s="38">
        <v>209</v>
      </c>
      <c r="BA29" s="38">
        <v>234</v>
      </c>
      <c r="BB29" s="38">
        <v>14</v>
      </c>
      <c r="BC29" s="37">
        <v>3.1602708803611739</v>
      </c>
      <c r="BD29" s="40">
        <v>10</v>
      </c>
      <c r="BE29" s="37">
        <v>4.7846889952153111</v>
      </c>
      <c r="BF29" s="40">
        <v>4</v>
      </c>
      <c r="BG29" s="37">
        <v>1.7094017094017095</v>
      </c>
      <c r="BH29" s="38">
        <v>108</v>
      </c>
      <c r="BI29" s="38">
        <v>107</v>
      </c>
      <c r="BJ29" s="38">
        <v>39</v>
      </c>
      <c r="BK29" s="38">
        <v>68</v>
      </c>
      <c r="BL29" s="37">
        <v>100.93457943925233</v>
      </c>
      <c r="BM29" s="37">
        <v>112.82051282051282</v>
      </c>
      <c r="BN29" s="37">
        <v>94.117647058823522</v>
      </c>
      <c r="BO29" s="38">
        <v>224</v>
      </c>
      <c r="BP29" s="38">
        <v>104</v>
      </c>
      <c r="BQ29" s="38">
        <v>120</v>
      </c>
      <c r="BR29" s="37">
        <v>48.214285714285715</v>
      </c>
      <c r="BS29" s="37">
        <v>42.307692307692307</v>
      </c>
      <c r="BT29" s="37">
        <v>53.333333333333336</v>
      </c>
      <c r="BU29" s="2"/>
      <c r="BV29" s="2"/>
    </row>
    <row r="30" spans="1:74" ht="15.75" x14ac:dyDescent="0.3">
      <c r="A30" s="2" t="s">
        <v>54</v>
      </c>
      <c r="B30" s="2" t="s">
        <v>55</v>
      </c>
      <c r="C30" s="2" t="s">
        <v>105</v>
      </c>
      <c r="D30" s="2" t="s">
        <v>57</v>
      </c>
      <c r="E30" s="2" t="s">
        <v>95</v>
      </c>
      <c r="F30" s="2" t="s">
        <v>106</v>
      </c>
      <c r="G30" s="2" t="s">
        <v>60</v>
      </c>
      <c r="H30" s="2" t="s">
        <v>61</v>
      </c>
      <c r="I30" s="2" t="s">
        <v>62</v>
      </c>
      <c r="J30" s="2" t="s">
        <v>63</v>
      </c>
      <c r="K30" s="2" t="s">
        <v>165</v>
      </c>
      <c r="L30" s="2" t="s">
        <v>166</v>
      </c>
      <c r="M30" s="2">
        <v>0</v>
      </c>
      <c r="N30" s="2" t="s">
        <v>167</v>
      </c>
      <c r="O30" s="2" t="s">
        <v>80</v>
      </c>
      <c r="P30" s="2" t="s">
        <v>80</v>
      </c>
      <c r="Q30" s="2" t="s">
        <v>69</v>
      </c>
      <c r="R30" s="2" t="s">
        <v>70</v>
      </c>
      <c r="S30" s="2" t="s">
        <v>168</v>
      </c>
      <c r="T30" s="2" t="s">
        <v>169</v>
      </c>
      <c r="U30" s="2" t="s">
        <v>170</v>
      </c>
      <c r="V30" s="2" t="s">
        <v>169</v>
      </c>
      <c r="W30" s="2" t="s">
        <v>74</v>
      </c>
      <c r="X30" s="38">
        <v>814</v>
      </c>
      <c r="Y30" s="38">
        <v>360</v>
      </c>
      <c r="Z30" s="38">
        <v>454</v>
      </c>
      <c r="AA30" s="38">
        <v>517</v>
      </c>
      <c r="AB30" s="38">
        <v>205</v>
      </c>
      <c r="AC30" s="38">
        <v>312</v>
      </c>
      <c r="AD30" s="38">
        <v>39</v>
      </c>
      <c r="AE30" s="38">
        <v>19</v>
      </c>
      <c r="AF30" s="38">
        <v>20</v>
      </c>
      <c r="AG30" s="38">
        <v>0</v>
      </c>
      <c r="AH30" s="38">
        <v>0</v>
      </c>
      <c r="AI30" s="38">
        <v>0</v>
      </c>
      <c r="AJ30" s="38">
        <v>258</v>
      </c>
      <c r="AK30" s="37">
        <v>31.695331695331696</v>
      </c>
      <c r="AL30" s="40">
        <f t="shared" si="0"/>
        <v>136</v>
      </c>
      <c r="AM30" s="37">
        <f t="shared" si="1"/>
        <v>37.777777777777779</v>
      </c>
      <c r="AN30" s="40">
        <f t="shared" si="2"/>
        <v>122</v>
      </c>
      <c r="AO30" s="37">
        <f t="shared" si="3"/>
        <v>26.872246696035241</v>
      </c>
      <c r="AP30" s="38">
        <v>917</v>
      </c>
      <c r="AQ30" s="38">
        <v>425</v>
      </c>
      <c r="AR30" s="38">
        <v>492</v>
      </c>
      <c r="AS30" s="38">
        <v>342</v>
      </c>
      <c r="AT30" s="38">
        <v>161</v>
      </c>
      <c r="AU30" s="38">
        <v>181</v>
      </c>
      <c r="AV30" s="38">
        <v>175</v>
      </c>
      <c r="AW30" s="38">
        <v>65</v>
      </c>
      <c r="AX30" s="38">
        <v>110</v>
      </c>
      <c r="AY30" s="38">
        <v>831</v>
      </c>
      <c r="AZ30" s="38">
        <v>382</v>
      </c>
      <c r="BA30" s="38">
        <v>449</v>
      </c>
      <c r="BB30" s="38">
        <v>81</v>
      </c>
      <c r="BC30" s="37">
        <v>9.7472924187725631</v>
      </c>
      <c r="BD30" s="40">
        <v>53</v>
      </c>
      <c r="BE30" s="37">
        <v>13.874345549738221</v>
      </c>
      <c r="BF30" s="40">
        <v>28</v>
      </c>
      <c r="BG30" s="37">
        <v>6.2360801781737196</v>
      </c>
      <c r="BH30" s="38">
        <v>175</v>
      </c>
      <c r="BI30" s="38">
        <v>204</v>
      </c>
      <c r="BJ30" s="38">
        <v>79</v>
      </c>
      <c r="BK30" s="38">
        <v>125</v>
      </c>
      <c r="BL30" s="37">
        <v>85.784313725490193</v>
      </c>
      <c r="BM30" s="37">
        <v>82.278481012658233</v>
      </c>
      <c r="BN30" s="37">
        <v>88</v>
      </c>
      <c r="BO30" s="38">
        <v>250</v>
      </c>
      <c r="BP30" s="38">
        <v>129</v>
      </c>
      <c r="BQ30" s="38">
        <v>121</v>
      </c>
      <c r="BR30" s="37">
        <v>70</v>
      </c>
      <c r="BS30" s="37">
        <v>50.387596899224803</v>
      </c>
      <c r="BT30" s="37">
        <v>90.909090909090907</v>
      </c>
      <c r="BU30" s="2"/>
      <c r="BV30" s="2"/>
    </row>
    <row r="31" spans="1:74" ht="15.75" x14ac:dyDescent="0.3">
      <c r="A31" s="2" t="s">
        <v>54</v>
      </c>
      <c r="B31" s="2" t="s">
        <v>55</v>
      </c>
      <c r="C31" s="2" t="s">
        <v>105</v>
      </c>
      <c r="D31" s="2" t="s">
        <v>57</v>
      </c>
      <c r="E31" s="2" t="s">
        <v>95</v>
      </c>
      <c r="F31" s="2" t="s">
        <v>106</v>
      </c>
      <c r="G31" s="2" t="s">
        <v>60</v>
      </c>
      <c r="H31" s="2" t="s">
        <v>61</v>
      </c>
      <c r="I31" s="2" t="s">
        <v>62</v>
      </c>
      <c r="J31" s="2" t="s">
        <v>63</v>
      </c>
      <c r="K31" s="2" t="s">
        <v>165</v>
      </c>
      <c r="L31" s="2" t="s">
        <v>166</v>
      </c>
      <c r="M31" s="2">
        <v>0</v>
      </c>
      <c r="N31" s="2" t="s">
        <v>167</v>
      </c>
      <c r="O31" s="2" t="s">
        <v>80</v>
      </c>
      <c r="P31" s="2" t="s">
        <v>80</v>
      </c>
      <c r="Q31" s="2" t="s">
        <v>69</v>
      </c>
      <c r="R31" s="2" t="s">
        <v>70</v>
      </c>
      <c r="S31" s="2" t="s">
        <v>168</v>
      </c>
      <c r="T31" s="2" t="s">
        <v>169</v>
      </c>
      <c r="U31" s="2" t="s">
        <v>170</v>
      </c>
      <c r="V31" s="2" t="s">
        <v>169</v>
      </c>
      <c r="W31" s="2" t="s">
        <v>113</v>
      </c>
      <c r="X31" s="38">
        <v>704</v>
      </c>
      <c r="Y31" s="38">
        <v>310</v>
      </c>
      <c r="Z31" s="38">
        <v>394</v>
      </c>
      <c r="AA31" s="38">
        <v>403</v>
      </c>
      <c r="AB31" s="38">
        <v>152</v>
      </c>
      <c r="AC31" s="38">
        <v>251</v>
      </c>
      <c r="AD31" s="38">
        <v>26</v>
      </c>
      <c r="AE31" s="38">
        <v>9</v>
      </c>
      <c r="AF31" s="38">
        <v>17</v>
      </c>
      <c r="AG31" s="38">
        <v>0</v>
      </c>
      <c r="AH31" s="38">
        <v>0</v>
      </c>
      <c r="AI31" s="38">
        <v>0</v>
      </c>
      <c r="AJ31" s="38">
        <v>275</v>
      </c>
      <c r="AK31" s="37">
        <v>39.0625</v>
      </c>
      <c r="AL31" s="40">
        <f t="shared" si="0"/>
        <v>149</v>
      </c>
      <c r="AM31" s="37">
        <f t="shared" si="1"/>
        <v>48.064516129032256</v>
      </c>
      <c r="AN31" s="40">
        <f t="shared" si="2"/>
        <v>126</v>
      </c>
      <c r="AO31" s="37">
        <f t="shared" si="3"/>
        <v>31.979695431472084</v>
      </c>
      <c r="AP31" s="38">
        <v>789</v>
      </c>
      <c r="AQ31" s="38">
        <v>353</v>
      </c>
      <c r="AR31" s="38">
        <v>436</v>
      </c>
      <c r="AS31" s="38">
        <v>289</v>
      </c>
      <c r="AT31" s="38">
        <v>138</v>
      </c>
      <c r="AU31" s="38">
        <v>151</v>
      </c>
      <c r="AV31" s="38">
        <v>142</v>
      </c>
      <c r="AW31" s="38">
        <v>53</v>
      </c>
      <c r="AX31" s="38">
        <v>89</v>
      </c>
      <c r="AY31" s="38">
        <v>824</v>
      </c>
      <c r="AZ31" s="38">
        <v>376</v>
      </c>
      <c r="BA31" s="38">
        <v>448</v>
      </c>
      <c r="BB31" s="38">
        <v>182</v>
      </c>
      <c r="BC31" s="37">
        <v>22.087378640776699</v>
      </c>
      <c r="BD31" s="40">
        <v>108</v>
      </c>
      <c r="BE31" s="37">
        <v>28.723404255319153</v>
      </c>
      <c r="BF31" s="40">
        <v>74</v>
      </c>
      <c r="BG31" s="37">
        <v>16.517857142857142</v>
      </c>
      <c r="BH31" s="38">
        <v>142</v>
      </c>
      <c r="BI31" s="38">
        <v>163</v>
      </c>
      <c r="BJ31" s="38">
        <v>67</v>
      </c>
      <c r="BK31" s="38">
        <v>96</v>
      </c>
      <c r="BL31" s="37">
        <v>87.116564417177912</v>
      </c>
      <c r="BM31" s="37">
        <v>79.104477611940297</v>
      </c>
      <c r="BN31" s="37">
        <v>92.708333333333343</v>
      </c>
      <c r="BO31" s="38">
        <v>396</v>
      </c>
      <c r="BP31" s="38">
        <v>179</v>
      </c>
      <c r="BQ31" s="38">
        <v>217</v>
      </c>
      <c r="BR31" s="37">
        <v>35.858585858585855</v>
      </c>
      <c r="BS31" s="37">
        <v>29.608938547486037</v>
      </c>
      <c r="BT31" s="37">
        <v>41.013824884792626</v>
      </c>
      <c r="BU31" s="2"/>
      <c r="BV31" s="2"/>
    </row>
    <row r="32" spans="1:74" ht="15.75" x14ac:dyDescent="0.3">
      <c r="A32" s="2" t="s">
        <v>54</v>
      </c>
      <c r="B32" s="2" t="s">
        <v>55</v>
      </c>
      <c r="C32" s="2" t="s">
        <v>105</v>
      </c>
      <c r="D32" s="2" t="s">
        <v>57</v>
      </c>
      <c r="E32" s="2" t="s">
        <v>95</v>
      </c>
      <c r="F32" s="2" t="s">
        <v>106</v>
      </c>
      <c r="G32" s="2" t="s">
        <v>60</v>
      </c>
      <c r="H32" s="2" t="s">
        <v>61</v>
      </c>
      <c r="I32" s="2" t="s">
        <v>62</v>
      </c>
      <c r="J32" s="2" t="s">
        <v>171</v>
      </c>
      <c r="K32" s="2" t="s">
        <v>159</v>
      </c>
      <c r="L32" s="2" t="s">
        <v>172</v>
      </c>
      <c r="M32" s="2">
        <v>0</v>
      </c>
      <c r="N32" s="2" t="s">
        <v>173</v>
      </c>
      <c r="O32" s="2" t="s">
        <v>174</v>
      </c>
      <c r="P32" s="2" t="s">
        <v>80</v>
      </c>
      <c r="Q32" s="2" t="s">
        <v>69</v>
      </c>
      <c r="R32" s="2" t="s">
        <v>70</v>
      </c>
      <c r="S32" s="2" t="s">
        <v>175</v>
      </c>
      <c r="T32" s="2" t="s">
        <v>176</v>
      </c>
      <c r="U32" s="2" t="s">
        <v>177</v>
      </c>
      <c r="V32" s="2" t="s">
        <v>176</v>
      </c>
      <c r="W32" s="2" t="s">
        <v>74</v>
      </c>
      <c r="X32" s="38">
        <v>876</v>
      </c>
      <c r="Y32" s="38">
        <v>368</v>
      </c>
      <c r="Z32" s="38">
        <v>508</v>
      </c>
      <c r="AA32" s="38">
        <v>662</v>
      </c>
      <c r="AB32" s="38">
        <v>237</v>
      </c>
      <c r="AC32" s="38">
        <v>425</v>
      </c>
      <c r="AD32" s="38">
        <v>45</v>
      </c>
      <c r="AE32" s="38">
        <v>25</v>
      </c>
      <c r="AF32" s="38">
        <v>20</v>
      </c>
      <c r="AG32" s="38">
        <v>0</v>
      </c>
      <c r="AH32" s="38">
        <v>0</v>
      </c>
      <c r="AI32" s="38">
        <v>0</v>
      </c>
      <c r="AJ32" s="38">
        <v>169</v>
      </c>
      <c r="AK32" s="37">
        <v>19.292237442922374</v>
      </c>
      <c r="AL32" s="40">
        <f t="shared" si="0"/>
        <v>106</v>
      </c>
      <c r="AM32" s="37">
        <f t="shared" si="1"/>
        <v>28.804347826086957</v>
      </c>
      <c r="AN32" s="40">
        <f t="shared" si="2"/>
        <v>63</v>
      </c>
      <c r="AO32" s="37">
        <f t="shared" si="3"/>
        <v>12.401574803149607</v>
      </c>
      <c r="AP32" s="38">
        <v>1043</v>
      </c>
      <c r="AQ32" s="38">
        <v>433</v>
      </c>
      <c r="AR32" s="38">
        <v>610</v>
      </c>
      <c r="AS32" s="38">
        <v>313</v>
      </c>
      <c r="AT32" s="38">
        <v>132</v>
      </c>
      <c r="AU32" s="38">
        <v>181</v>
      </c>
      <c r="AV32" s="38">
        <v>180</v>
      </c>
      <c r="AW32" s="38">
        <v>67</v>
      </c>
      <c r="AX32" s="38">
        <v>113</v>
      </c>
      <c r="AY32" s="38">
        <v>876</v>
      </c>
      <c r="AZ32" s="38">
        <v>370</v>
      </c>
      <c r="BA32" s="38">
        <v>506</v>
      </c>
      <c r="BB32" s="38">
        <v>-34</v>
      </c>
      <c r="BC32" s="37">
        <v>-3.8812785388127851</v>
      </c>
      <c r="BD32" s="40">
        <v>2</v>
      </c>
      <c r="BE32" s="37">
        <v>0.54054054054054057</v>
      </c>
      <c r="BF32" s="40">
        <v>-36</v>
      </c>
      <c r="BG32" s="37">
        <v>-7.1146245059288544</v>
      </c>
      <c r="BH32" s="38">
        <v>180</v>
      </c>
      <c r="BI32" s="38">
        <v>180</v>
      </c>
      <c r="BJ32" s="38">
        <v>65</v>
      </c>
      <c r="BK32" s="38">
        <v>115</v>
      </c>
      <c r="BL32" s="37">
        <v>100</v>
      </c>
      <c r="BM32" s="37">
        <v>103.07692307692307</v>
      </c>
      <c r="BN32" s="37">
        <v>98.260869565217391</v>
      </c>
      <c r="BO32" s="38">
        <v>268</v>
      </c>
      <c r="BP32" s="38">
        <v>116</v>
      </c>
      <c r="BQ32" s="38">
        <v>152</v>
      </c>
      <c r="BR32" s="37">
        <v>67.164179104477611</v>
      </c>
      <c r="BS32" s="37">
        <v>57.758620689655174</v>
      </c>
      <c r="BT32" s="37">
        <v>74.342105263157904</v>
      </c>
      <c r="BU32" s="2"/>
      <c r="BV32" s="2"/>
    </row>
    <row r="33" spans="1:74" ht="15.75" x14ac:dyDescent="0.3">
      <c r="A33" s="2" t="s">
        <v>54</v>
      </c>
      <c r="B33" s="2" t="s">
        <v>55</v>
      </c>
      <c r="C33" s="2" t="s">
        <v>105</v>
      </c>
      <c r="D33" s="2" t="s">
        <v>57</v>
      </c>
      <c r="E33" s="2" t="s">
        <v>95</v>
      </c>
      <c r="F33" s="2" t="s">
        <v>106</v>
      </c>
      <c r="G33" s="2" t="s">
        <v>60</v>
      </c>
      <c r="H33" s="2" t="s">
        <v>61</v>
      </c>
      <c r="I33" s="2" t="s">
        <v>62</v>
      </c>
      <c r="J33" s="2" t="s">
        <v>171</v>
      </c>
      <c r="K33" s="2" t="s">
        <v>159</v>
      </c>
      <c r="L33" s="2" t="s">
        <v>172</v>
      </c>
      <c r="M33" s="2">
        <v>0</v>
      </c>
      <c r="N33" s="2" t="s">
        <v>173</v>
      </c>
      <c r="O33" s="2" t="s">
        <v>174</v>
      </c>
      <c r="P33" s="2" t="s">
        <v>80</v>
      </c>
      <c r="Q33" s="2" t="s">
        <v>69</v>
      </c>
      <c r="R33" s="2" t="s">
        <v>70</v>
      </c>
      <c r="S33" s="2" t="s">
        <v>175</v>
      </c>
      <c r="T33" s="2" t="s">
        <v>176</v>
      </c>
      <c r="U33" s="2" t="s">
        <v>177</v>
      </c>
      <c r="V33" s="2" t="s">
        <v>176</v>
      </c>
      <c r="W33" s="2" t="s">
        <v>113</v>
      </c>
      <c r="X33" s="38">
        <v>488</v>
      </c>
      <c r="Y33" s="38">
        <v>195</v>
      </c>
      <c r="Z33" s="38">
        <v>293</v>
      </c>
      <c r="AA33" s="38">
        <v>263</v>
      </c>
      <c r="AB33" s="38">
        <v>86</v>
      </c>
      <c r="AC33" s="38">
        <v>177</v>
      </c>
      <c r="AD33" s="38">
        <v>34</v>
      </c>
      <c r="AE33" s="38">
        <v>20</v>
      </c>
      <c r="AF33" s="38">
        <v>14</v>
      </c>
      <c r="AG33" s="38">
        <v>0</v>
      </c>
      <c r="AH33" s="38">
        <v>0</v>
      </c>
      <c r="AI33" s="38">
        <v>0</v>
      </c>
      <c r="AJ33" s="38">
        <v>191</v>
      </c>
      <c r="AK33" s="37">
        <v>39.139344262295083</v>
      </c>
      <c r="AL33" s="40">
        <f t="shared" si="0"/>
        <v>89</v>
      </c>
      <c r="AM33" s="37">
        <f t="shared" si="1"/>
        <v>45.641025641025642</v>
      </c>
      <c r="AN33" s="40">
        <f t="shared" si="2"/>
        <v>102</v>
      </c>
      <c r="AO33" s="37">
        <f t="shared" si="3"/>
        <v>34.8122866894198</v>
      </c>
      <c r="AP33" s="38">
        <v>651</v>
      </c>
      <c r="AQ33" s="38">
        <v>278</v>
      </c>
      <c r="AR33" s="38">
        <v>373</v>
      </c>
      <c r="AS33" s="38">
        <v>363</v>
      </c>
      <c r="AT33" s="38">
        <v>162</v>
      </c>
      <c r="AU33" s="38">
        <v>201</v>
      </c>
      <c r="AV33" s="38">
        <v>95</v>
      </c>
      <c r="AW33" s="38">
        <v>40</v>
      </c>
      <c r="AX33" s="38">
        <v>55</v>
      </c>
      <c r="AY33" s="38">
        <v>614</v>
      </c>
      <c r="AZ33" s="38">
        <v>274</v>
      </c>
      <c r="BA33" s="38">
        <v>340</v>
      </c>
      <c r="BB33" s="38">
        <v>231</v>
      </c>
      <c r="BC33" s="37">
        <v>37.622149837133549</v>
      </c>
      <c r="BD33" s="40">
        <v>118</v>
      </c>
      <c r="BE33" s="37">
        <v>43.065693430656928</v>
      </c>
      <c r="BF33" s="40">
        <v>113</v>
      </c>
      <c r="BG33" s="37">
        <v>33.235294117647058</v>
      </c>
      <c r="BH33" s="38">
        <v>95</v>
      </c>
      <c r="BI33" s="38">
        <v>99</v>
      </c>
      <c r="BJ33" s="38">
        <v>40</v>
      </c>
      <c r="BK33" s="38">
        <v>59</v>
      </c>
      <c r="BL33" s="37">
        <v>95.959595959595958</v>
      </c>
      <c r="BM33" s="37">
        <v>100</v>
      </c>
      <c r="BN33" s="37">
        <v>93.220338983050837</v>
      </c>
      <c r="BO33" s="38">
        <v>269</v>
      </c>
      <c r="BP33" s="38">
        <v>128</v>
      </c>
      <c r="BQ33" s="38">
        <v>141</v>
      </c>
      <c r="BR33" s="37">
        <v>35.315985130111528</v>
      </c>
      <c r="BS33" s="37">
        <v>31.25</v>
      </c>
      <c r="BT33" s="37">
        <v>39.00709219858156</v>
      </c>
      <c r="BU33" s="2"/>
      <c r="BV33" s="2"/>
    </row>
    <row r="34" spans="1:74" ht="15.75" x14ac:dyDescent="0.3">
      <c r="A34" s="2" t="s">
        <v>54</v>
      </c>
      <c r="B34" s="2" t="s">
        <v>55</v>
      </c>
      <c r="C34" s="2" t="s">
        <v>105</v>
      </c>
      <c r="D34" s="2" t="s">
        <v>57</v>
      </c>
      <c r="E34" s="2" t="s">
        <v>95</v>
      </c>
      <c r="F34" s="2" t="s">
        <v>106</v>
      </c>
      <c r="G34" s="2" t="s">
        <v>149</v>
      </c>
      <c r="H34" s="2" t="s">
        <v>149</v>
      </c>
      <c r="I34" s="2" t="s">
        <v>178</v>
      </c>
      <c r="J34" s="2" t="s">
        <v>179</v>
      </c>
      <c r="K34" s="2" t="s">
        <v>76</v>
      </c>
      <c r="L34" s="2" t="s">
        <v>180</v>
      </c>
      <c r="M34" s="2">
        <v>0</v>
      </c>
      <c r="N34" s="2" t="s">
        <v>181</v>
      </c>
      <c r="O34" s="2" t="s">
        <v>182</v>
      </c>
      <c r="P34" s="2" t="s">
        <v>80</v>
      </c>
      <c r="Q34" s="2" t="s">
        <v>90</v>
      </c>
      <c r="R34" s="2" t="s">
        <v>91</v>
      </c>
      <c r="S34" s="2" t="s">
        <v>183</v>
      </c>
      <c r="T34" s="2" t="s">
        <v>184</v>
      </c>
      <c r="U34" s="2" t="s">
        <v>185</v>
      </c>
      <c r="V34" s="2" t="s">
        <v>184</v>
      </c>
      <c r="W34" s="2" t="s">
        <v>74</v>
      </c>
      <c r="X34" s="38">
        <v>923</v>
      </c>
      <c r="Y34" s="38">
        <v>402</v>
      </c>
      <c r="Z34" s="38">
        <v>521</v>
      </c>
      <c r="AA34" s="38">
        <v>696</v>
      </c>
      <c r="AB34" s="38">
        <v>275</v>
      </c>
      <c r="AC34" s="38">
        <v>421</v>
      </c>
      <c r="AD34" s="38">
        <v>84</v>
      </c>
      <c r="AE34" s="38">
        <v>46</v>
      </c>
      <c r="AF34" s="38">
        <v>38</v>
      </c>
      <c r="AG34" s="38">
        <v>0</v>
      </c>
      <c r="AH34" s="38">
        <v>0</v>
      </c>
      <c r="AI34" s="38">
        <v>0</v>
      </c>
      <c r="AJ34" s="38">
        <v>143</v>
      </c>
      <c r="AK34" s="37">
        <v>15.492957746478872</v>
      </c>
      <c r="AL34" s="40">
        <f t="shared" si="0"/>
        <v>81</v>
      </c>
      <c r="AM34" s="37">
        <f t="shared" si="1"/>
        <v>20.149253731343283</v>
      </c>
      <c r="AN34" s="40">
        <f t="shared" si="2"/>
        <v>62</v>
      </c>
      <c r="AO34" s="37">
        <f t="shared" si="3"/>
        <v>11.900191938579654</v>
      </c>
      <c r="AP34" s="38">
        <v>1100</v>
      </c>
      <c r="AQ34" s="38">
        <v>508</v>
      </c>
      <c r="AR34" s="38">
        <v>592</v>
      </c>
      <c r="AS34" s="38">
        <v>412</v>
      </c>
      <c r="AT34" s="38">
        <v>188</v>
      </c>
      <c r="AU34" s="38">
        <v>224</v>
      </c>
      <c r="AV34" s="38">
        <v>209</v>
      </c>
      <c r="AW34" s="38">
        <v>75</v>
      </c>
      <c r="AX34" s="38">
        <v>134</v>
      </c>
      <c r="AY34" s="38">
        <v>961</v>
      </c>
      <c r="AZ34" s="38">
        <v>418</v>
      </c>
      <c r="BA34" s="38">
        <v>543</v>
      </c>
      <c r="BB34" s="38">
        <v>64</v>
      </c>
      <c r="BC34" s="37">
        <v>6.6597294484911558</v>
      </c>
      <c r="BD34" s="40">
        <v>23</v>
      </c>
      <c r="BE34" s="37">
        <v>5.5023923444976077</v>
      </c>
      <c r="BF34" s="40">
        <v>41</v>
      </c>
      <c r="BG34" s="37">
        <v>7.5506445672191527</v>
      </c>
      <c r="BH34" s="38">
        <v>209</v>
      </c>
      <c r="BI34" s="38">
        <v>218</v>
      </c>
      <c r="BJ34" s="38">
        <v>81</v>
      </c>
      <c r="BK34" s="38">
        <v>137</v>
      </c>
      <c r="BL34" s="37">
        <v>95.87155963302753</v>
      </c>
      <c r="BM34" s="37">
        <v>92.592592592592595</v>
      </c>
      <c r="BN34" s="37">
        <v>97.810218978102199</v>
      </c>
      <c r="BO34" s="38">
        <v>299</v>
      </c>
      <c r="BP34" s="38">
        <v>132</v>
      </c>
      <c r="BQ34" s="38">
        <v>167</v>
      </c>
      <c r="BR34" s="37">
        <v>69.899665551839462</v>
      </c>
      <c r="BS34" s="37">
        <v>56.81818181818182</v>
      </c>
      <c r="BT34" s="37">
        <v>80.23952095808383</v>
      </c>
      <c r="BU34" s="2"/>
      <c r="BV34" s="2"/>
    </row>
    <row r="35" spans="1:74" ht="15.75" x14ac:dyDescent="0.3">
      <c r="A35" s="2" t="s">
        <v>54</v>
      </c>
      <c r="B35" s="2" t="s">
        <v>55</v>
      </c>
      <c r="C35" s="2" t="s">
        <v>105</v>
      </c>
      <c r="D35" s="2" t="s">
        <v>57</v>
      </c>
      <c r="E35" s="2" t="s">
        <v>95</v>
      </c>
      <c r="F35" s="2" t="s">
        <v>106</v>
      </c>
      <c r="G35" s="2" t="s">
        <v>149</v>
      </c>
      <c r="H35" s="2" t="s">
        <v>149</v>
      </c>
      <c r="I35" s="2" t="s">
        <v>178</v>
      </c>
      <c r="J35" s="2" t="s">
        <v>179</v>
      </c>
      <c r="K35" s="2" t="s">
        <v>76</v>
      </c>
      <c r="L35" s="2" t="s">
        <v>180</v>
      </c>
      <c r="M35" s="2">
        <v>0</v>
      </c>
      <c r="N35" s="2" t="s">
        <v>181</v>
      </c>
      <c r="O35" s="2" t="s">
        <v>182</v>
      </c>
      <c r="P35" s="2" t="s">
        <v>80</v>
      </c>
      <c r="Q35" s="2" t="s">
        <v>90</v>
      </c>
      <c r="R35" s="2" t="s">
        <v>91</v>
      </c>
      <c r="S35" s="2" t="s">
        <v>183</v>
      </c>
      <c r="T35" s="2" t="s">
        <v>184</v>
      </c>
      <c r="U35" s="2" t="s">
        <v>185</v>
      </c>
      <c r="V35" s="2" t="s">
        <v>184</v>
      </c>
      <c r="W35" s="2" t="s">
        <v>113</v>
      </c>
      <c r="X35" s="38">
        <v>824</v>
      </c>
      <c r="Y35" s="38">
        <v>400</v>
      </c>
      <c r="Z35" s="38">
        <v>424</v>
      </c>
      <c r="AA35" s="38">
        <v>554</v>
      </c>
      <c r="AB35" s="38">
        <v>238</v>
      </c>
      <c r="AC35" s="38">
        <v>316</v>
      </c>
      <c r="AD35" s="38">
        <v>73</v>
      </c>
      <c r="AE35" s="38">
        <v>41</v>
      </c>
      <c r="AF35" s="38">
        <v>32</v>
      </c>
      <c r="AG35" s="38">
        <v>0</v>
      </c>
      <c r="AH35" s="38">
        <v>0</v>
      </c>
      <c r="AI35" s="38">
        <v>0</v>
      </c>
      <c r="AJ35" s="38">
        <v>197</v>
      </c>
      <c r="AK35" s="37">
        <v>23.907766990291261</v>
      </c>
      <c r="AL35" s="40">
        <f t="shared" si="0"/>
        <v>121</v>
      </c>
      <c r="AM35" s="37">
        <f t="shared" si="1"/>
        <v>30.25</v>
      </c>
      <c r="AN35" s="40">
        <f t="shared" si="2"/>
        <v>76</v>
      </c>
      <c r="AO35" s="37">
        <f t="shared" si="3"/>
        <v>17.924528301886792</v>
      </c>
      <c r="AP35" s="38">
        <v>938</v>
      </c>
      <c r="AQ35" s="38">
        <v>480</v>
      </c>
      <c r="AR35" s="38">
        <v>458</v>
      </c>
      <c r="AS35" s="38">
        <v>364</v>
      </c>
      <c r="AT35" s="38">
        <v>189</v>
      </c>
      <c r="AU35" s="38">
        <v>175</v>
      </c>
      <c r="AV35" s="38">
        <v>177</v>
      </c>
      <c r="AW35" s="38">
        <v>67</v>
      </c>
      <c r="AX35" s="38">
        <v>110</v>
      </c>
      <c r="AY35" s="38">
        <v>907</v>
      </c>
      <c r="AZ35" s="38">
        <v>453</v>
      </c>
      <c r="BA35" s="38">
        <v>454</v>
      </c>
      <c r="BB35" s="38">
        <v>156</v>
      </c>
      <c r="BC35" s="37">
        <v>17.199558985667036</v>
      </c>
      <c r="BD35" s="40">
        <v>95</v>
      </c>
      <c r="BE35" s="37">
        <v>20.97130242825607</v>
      </c>
      <c r="BF35" s="40">
        <v>61</v>
      </c>
      <c r="BG35" s="37">
        <v>13.43612334801762</v>
      </c>
      <c r="BH35" s="38">
        <v>177</v>
      </c>
      <c r="BI35" s="38">
        <v>197</v>
      </c>
      <c r="BJ35" s="38">
        <v>79</v>
      </c>
      <c r="BK35" s="38">
        <v>118</v>
      </c>
      <c r="BL35" s="37">
        <v>89.847715736040612</v>
      </c>
      <c r="BM35" s="37">
        <v>84.810126582278471</v>
      </c>
      <c r="BN35" s="37">
        <v>93.220338983050837</v>
      </c>
      <c r="BO35" s="38">
        <v>414</v>
      </c>
      <c r="BP35" s="38">
        <v>206</v>
      </c>
      <c r="BQ35" s="38">
        <v>208</v>
      </c>
      <c r="BR35" s="37">
        <v>42.753623188405797</v>
      </c>
      <c r="BS35" s="37">
        <v>32.524271844660198</v>
      </c>
      <c r="BT35" s="37">
        <v>52.884615384615387</v>
      </c>
      <c r="BU35" s="2"/>
      <c r="BV35" s="2"/>
    </row>
    <row r="36" spans="1:74" ht="15.75" x14ac:dyDescent="0.3">
      <c r="A36" s="2" t="s">
        <v>54</v>
      </c>
      <c r="B36" s="2" t="s">
        <v>55</v>
      </c>
      <c r="C36" s="2" t="s">
        <v>105</v>
      </c>
      <c r="D36" s="2" t="s">
        <v>57</v>
      </c>
      <c r="E36" s="2" t="s">
        <v>95</v>
      </c>
      <c r="F36" s="2" t="s">
        <v>106</v>
      </c>
      <c r="G36" s="2" t="s">
        <v>186</v>
      </c>
      <c r="H36" s="2" t="s">
        <v>187</v>
      </c>
      <c r="I36" s="2" t="s">
        <v>188</v>
      </c>
      <c r="J36" s="2" t="s">
        <v>189</v>
      </c>
      <c r="K36" s="2" t="s">
        <v>76</v>
      </c>
      <c r="L36" s="2" t="s">
        <v>190</v>
      </c>
      <c r="M36" s="2">
        <v>0</v>
      </c>
      <c r="N36" s="2" t="s">
        <v>191</v>
      </c>
      <c r="O36" s="2" t="s">
        <v>192</v>
      </c>
      <c r="P36" s="2" t="s">
        <v>193</v>
      </c>
      <c r="Q36" s="2" t="s">
        <v>144</v>
      </c>
      <c r="R36" s="2" t="s">
        <v>145</v>
      </c>
      <c r="S36" s="2" t="s">
        <v>194</v>
      </c>
      <c r="T36" s="2" t="s">
        <v>195</v>
      </c>
      <c r="U36" s="2" t="s">
        <v>196</v>
      </c>
      <c r="V36" s="2" t="s">
        <v>195</v>
      </c>
      <c r="W36" s="2" t="s">
        <v>74</v>
      </c>
      <c r="X36" s="38">
        <v>543</v>
      </c>
      <c r="Y36" s="38">
        <v>242</v>
      </c>
      <c r="Z36" s="38">
        <v>301</v>
      </c>
      <c r="AA36" s="38">
        <v>440</v>
      </c>
      <c r="AB36" s="38">
        <v>185</v>
      </c>
      <c r="AC36" s="38">
        <v>255</v>
      </c>
      <c r="AD36" s="38">
        <v>26</v>
      </c>
      <c r="AE36" s="38">
        <v>14</v>
      </c>
      <c r="AF36" s="38">
        <v>12</v>
      </c>
      <c r="AG36" s="38">
        <v>0</v>
      </c>
      <c r="AH36" s="38">
        <v>0</v>
      </c>
      <c r="AI36" s="38">
        <v>0</v>
      </c>
      <c r="AJ36" s="38">
        <v>77</v>
      </c>
      <c r="AK36" s="37">
        <v>14.180478821362799</v>
      </c>
      <c r="AL36" s="40">
        <f t="shared" si="0"/>
        <v>43</v>
      </c>
      <c r="AM36" s="37">
        <f t="shared" si="1"/>
        <v>17.768595041322314</v>
      </c>
      <c r="AN36" s="40">
        <f t="shared" si="2"/>
        <v>34</v>
      </c>
      <c r="AO36" s="37">
        <f t="shared" si="3"/>
        <v>11.295681063122924</v>
      </c>
      <c r="AP36" s="38">
        <v>572</v>
      </c>
      <c r="AQ36" s="38">
        <v>260</v>
      </c>
      <c r="AR36" s="38">
        <v>312</v>
      </c>
      <c r="AS36" s="38">
        <v>203</v>
      </c>
      <c r="AT36" s="38">
        <v>94</v>
      </c>
      <c r="AU36" s="38">
        <v>109</v>
      </c>
      <c r="AV36" s="38">
        <v>153</v>
      </c>
      <c r="AW36" s="38">
        <v>68</v>
      </c>
      <c r="AX36" s="38">
        <v>85</v>
      </c>
      <c r="AY36" s="38">
        <v>542</v>
      </c>
      <c r="AZ36" s="38">
        <v>241</v>
      </c>
      <c r="BA36" s="38">
        <v>301</v>
      </c>
      <c r="BB36" s="38">
        <v>20</v>
      </c>
      <c r="BC36" s="37">
        <v>3.6900369003690034</v>
      </c>
      <c r="BD36" s="40">
        <v>7</v>
      </c>
      <c r="BE36" s="37">
        <v>2.904564315352697</v>
      </c>
      <c r="BF36" s="40">
        <v>13</v>
      </c>
      <c r="BG36" s="37">
        <v>4.3189368770764114</v>
      </c>
      <c r="BH36" s="38">
        <v>153</v>
      </c>
      <c r="BI36" s="38">
        <v>161</v>
      </c>
      <c r="BJ36" s="38">
        <v>72</v>
      </c>
      <c r="BK36" s="38">
        <v>89</v>
      </c>
      <c r="BL36" s="37">
        <v>95.031055900621126</v>
      </c>
      <c r="BM36" s="37">
        <v>94.444444444444443</v>
      </c>
      <c r="BN36" s="37">
        <v>95.50561797752809</v>
      </c>
      <c r="BO36" s="38">
        <v>174</v>
      </c>
      <c r="BP36" s="38">
        <v>85</v>
      </c>
      <c r="BQ36" s="38">
        <v>89</v>
      </c>
      <c r="BR36" s="37">
        <v>87.931034482758619</v>
      </c>
      <c r="BS36" s="37">
        <v>80</v>
      </c>
      <c r="BT36" s="37">
        <v>95.50561797752809</v>
      </c>
      <c r="BU36" s="2"/>
      <c r="BV36" s="2"/>
    </row>
    <row r="37" spans="1:74" ht="15.75" x14ac:dyDescent="0.3">
      <c r="A37" s="2" t="s">
        <v>54</v>
      </c>
      <c r="B37" s="2" t="s">
        <v>55</v>
      </c>
      <c r="C37" s="2" t="s">
        <v>105</v>
      </c>
      <c r="D37" s="2" t="s">
        <v>57</v>
      </c>
      <c r="E37" s="2" t="s">
        <v>95</v>
      </c>
      <c r="F37" s="2" t="s">
        <v>106</v>
      </c>
      <c r="G37" s="2" t="s">
        <v>186</v>
      </c>
      <c r="H37" s="2" t="s">
        <v>187</v>
      </c>
      <c r="I37" s="2" t="s">
        <v>188</v>
      </c>
      <c r="J37" s="2" t="s">
        <v>189</v>
      </c>
      <c r="K37" s="2" t="s">
        <v>76</v>
      </c>
      <c r="L37" s="2" t="s">
        <v>190</v>
      </c>
      <c r="M37" s="2">
        <v>0</v>
      </c>
      <c r="N37" s="2" t="s">
        <v>191</v>
      </c>
      <c r="O37" s="2" t="s">
        <v>192</v>
      </c>
      <c r="P37" s="2" t="s">
        <v>193</v>
      </c>
      <c r="Q37" s="2" t="s">
        <v>144</v>
      </c>
      <c r="R37" s="2" t="s">
        <v>145</v>
      </c>
      <c r="S37" s="2" t="s">
        <v>194</v>
      </c>
      <c r="T37" s="2" t="s">
        <v>195</v>
      </c>
      <c r="U37" s="2" t="s">
        <v>196</v>
      </c>
      <c r="V37" s="2" t="s">
        <v>195</v>
      </c>
      <c r="W37" s="2" t="s">
        <v>113</v>
      </c>
      <c r="X37" s="38">
        <v>349</v>
      </c>
      <c r="Y37" s="38">
        <v>151</v>
      </c>
      <c r="Z37" s="38">
        <v>198</v>
      </c>
      <c r="AA37" s="38">
        <v>254</v>
      </c>
      <c r="AB37" s="38">
        <v>101</v>
      </c>
      <c r="AC37" s="38">
        <v>153</v>
      </c>
      <c r="AD37" s="38">
        <v>18</v>
      </c>
      <c r="AE37" s="38">
        <v>9</v>
      </c>
      <c r="AF37" s="38">
        <v>9</v>
      </c>
      <c r="AG37" s="38">
        <v>0</v>
      </c>
      <c r="AH37" s="38">
        <v>0</v>
      </c>
      <c r="AI37" s="38">
        <v>0</v>
      </c>
      <c r="AJ37" s="38">
        <v>77</v>
      </c>
      <c r="AK37" s="37">
        <v>22.063037249283667</v>
      </c>
      <c r="AL37" s="40">
        <f t="shared" si="0"/>
        <v>41</v>
      </c>
      <c r="AM37" s="37">
        <f t="shared" si="1"/>
        <v>27.152317880794701</v>
      </c>
      <c r="AN37" s="40">
        <f t="shared" si="2"/>
        <v>36</v>
      </c>
      <c r="AO37" s="37">
        <f t="shared" si="3"/>
        <v>18.181818181818183</v>
      </c>
      <c r="AP37" s="38">
        <v>469</v>
      </c>
      <c r="AQ37" s="38">
        <v>219</v>
      </c>
      <c r="AR37" s="38">
        <v>250</v>
      </c>
      <c r="AS37" s="38">
        <v>200</v>
      </c>
      <c r="AT37" s="38">
        <v>97</v>
      </c>
      <c r="AU37" s="38">
        <v>103</v>
      </c>
      <c r="AV37" s="38">
        <v>68</v>
      </c>
      <c r="AW37" s="38">
        <v>20</v>
      </c>
      <c r="AX37" s="38">
        <v>48</v>
      </c>
      <c r="AY37" s="38">
        <v>372</v>
      </c>
      <c r="AZ37" s="38">
        <v>171</v>
      </c>
      <c r="BA37" s="38">
        <v>201</v>
      </c>
      <c r="BB37" s="38">
        <v>35</v>
      </c>
      <c r="BC37" s="37">
        <v>9.408602150537634</v>
      </c>
      <c r="BD37" s="40">
        <v>29</v>
      </c>
      <c r="BE37" s="37">
        <v>16.959064327485379</v>
      </c>
      <c r="BF37" s="40">
        <v>6</v>
      </c>
      <c r="BG37" s="37">
        <v>2.9850746268656714</v>
      </c>
      <c r="BH37" s="38">
        <v>68</v>
      </c>
      <c r="BI37" s="38">
        <v>66</v>
      </c>
      <c r="BJ37" s="38">
        <v>18</v>
      </c>
      <c r="BK37" s="38">
        <v>48</v>
      </c>
      <c r="BL37" s="37">
        <v>103.03030303030303</v>
      </c>
      <c r="BM37" s="37">
        <v>111.11111111111111</v>
      </c>
      <c r="BN37" s="37">
        <v>100</v>
      </c>
      <c r="BO37" s="38">
        <v>171</v>
      </c>
      <c r="BP37" s="38">
        <v>61</v>
      </c>
      <c r="BQ37" s="38">
        <v>110</v>
      </c>
      <c r="BR37" s="37">
        <v>39.76608187134503</v>
      </c>
      <c r="BS37" s="37">
        <v>32.786885245901637</v>
      </c>
      <c r="BT37" s="37">
        <v>43.636363636363633</v>
      </c>
      <c r="BU37" s="2"/>
      <c r="BV37" s="2"/>
    </row>
    <row r="38" spans="1:74" ht="15.75" x14ac:dyDescent="0.3">
      <c r="A38" s="2" t="s">
        <v>54</v>
      </c>
      <c r="B38" s="2" t="s">
        <v>55</v>
      </c>
      <c r="C38" s="2" t="s">
        <v>105</v>
      </c>
      <c r="D38" s="2" t="s">
        <v>57</v>
      </c>
      <c r="E38" s="2" t="s">
        <v>95</v>
      </c>
      <c r="F38" s="2" t="s">
        <v>106</v>
      </c>
      <c r="G38" s="2" t="s">
        <v>60</v>
      </c>
      <c r="H38" s="2" t="s">
        <v>61</v>
      </c>
      <c r="I38" s="2" t="s">
        <v>85</v>
      </c>
      <c r="J38" s="2" t="s">
        <v>85</v>
      </c>
      <c r="K38" s="2" t="s">
        <v>86</v>
      </c>
      <c r="L38" s="2" t="s">
        <v>197</v>
      </c>
      <c r="M38" s="2">
        <v>26</v>
      </c>
      <c r="N38" s="2" t="s">
        <v>198</v>
      </c>
      <c r="O38" s="2" t="s">
        <v>199</v>
      </c>
      <c r="P38" s="2" t="s">
        <v>80</v>
      </c>
      <c r="Q38" s="2" t="s">
        <v>90</v>
      </c>
      <c r="R38" s="2" t="s">
        <v>91</v>
      </c>
      <c r="S38" s="2" t="s">
        <v>200</v>
      </c>
      <c r="T38" s="2" t="s">
        <v>201</v>
      </c>
      <c r="U38" s="2" t="s">
        <v>202</v>
      </c>
      <c r="V38" s="2" t="s">
        <v>201</v>
      </c>
      <c r="W38" s="2" t="s">
        <v>74</v>
      </c>
      <c r="X38" s="38">
        <v>677</v>
      </c>
      <c r="Y38" s="38">
        <v>284</v>
      </c>
      <c r="Z38" s="38">
        <v>393</v>
      </c>
      <c r="AA38" s="38">
        <v>579</v>
      </c>
      <c r="AB38" s="38">
        <v>215</v>
      </c>
      <c r="AC38" s="38">
        <v>364</v>
      </c>
      <c r="AD38" s="38">
        <v>27</v>
      </c>
      <c r="AE38" s="38">
        <v>18</v>
      </c>
      <c r="AF38" s="38">
        <v>9</v>
      </c>
      <c r="AG38" s="38">
        <v>0</v>
      </c>
      <c r="AH38" s="38">
        <v>0</v>
      </c>
      <c r="AI38" s="38">
        <v>0</v>
      </c>
      <c r="AJ38" s="38">
        <v>71</v>
      </c>
      <c r="AK38" s="37">
        <v>10.487444608567207</v>
      </c>
      <c r="AL38" s="40">
        <f t="shared" si="0"/>
        <v>51</v>
      </c>
      <c r="AM38" s="37">
        <f t="shared" si="1"/>
        <v>17.95774647887324</v>
      </c>
      <c r="AN38" s="40">
        <f t="shared" si="2"/>
        <v>20</v>
      </c>
      <c r="AO38" s="37">
        <f t="shared" si="3"/>
        <v>5.0890585241730273</v>
      </c>
      <c r="AP38" s="38">
        <v>847</v>
      </c>
      <c r="AQ38" s="38">
        <v>359</v>
      </c>
      <c r="AR38" s="38">
        <v>488</v>
      </c>
      <c r="AS38" s="38">
        <v>308</v>
      </c>
      <c r="AT38" s="38">
        <v>127</v>
      </c>
      <c r="AU38" s="38">
        <v>181</v>
      </c>
      <c r="AV38" s="38">
        <v>163</v>
      </c>
      <c r="AW38" s="38">
        <v>62</v>
      </c>
      <c r="AX38" s="38">
        <v>101</v>
      </c>
      <c r="AY38" s="38">
        <v>701</v>
      </c>
      <c r="AZ38" s="38">
        <v>301</v>
      </c>
      <c r="BA38" s="38">
        <v>400</v>
      </c>
      <c r="BB38" s="38">
        <v>-1</v>
      </c>
      <c r="BC38" s="37">
        <v>-0.14265335235378032</v>
      </c>
      <c r="BD38" s="40">
        <v>7</v>
      </c>
      <c r="BE38" s="37">
        <v>2.3255813953488373</v>
      </c>
      <c r="BF38" s="40">
        <v>-8</v>
      </c>
      <c r="BG38" s="37">
        <v>-2</v>
      </c>
      <c r="BH38" s="38">
        <v>163</v>
      </c>
      <c r="BI38" s="38">
        <v>167</v>
      </c>
      <c r="BJ38" s="38">
        <v>69</v>
      </c>
      <c r="BK38" s="38">
        <v>98</v>
      </c>
      <c r="BL38" s="37">
        <v>97.604790419161674</v>
      </c>
      <c r="BM38" s="37">
        <v>89.85507246376811</v>
      </c>
      <c r="BN38" s="37">
        <v>103.0612244897959</v>
      </c>
      <c r="BO38" s="38">
        <v>241</v>
      </c>
      <c r="BP38" s="38">
        <v>111</v>
      </c>
      <c r="BQ38" s="38">
        <v>130</v>
      </c>
      <c r="BR38" s="37">
        <v>67.634854771784234</v>
      </c>
      <c r="BS38" s="37">
        <v>55.85585585585585</v>
      </c>
      <c r="BT38" s="37">
        <v>77.692307692307693</v>
      </c>
      <c r="BU38" s="2"/>
      <c r="BV38" s="2"/>
    </row>
    <row r="39" spans="1:74" ht="15.75" x14ac:dyDescent="0.3">
      <c r="A39" s="2" t="s">
        <v>54</v>
      </c>
      <c r="B39" s="2" t="s">
        <v>55</v>
      </c>
      <c r="C39" s="2" t="s">
        <v>105</v>
      </c>
      <c r="D39" s="2" t="s">
        <v>57</v>
      </c>
      <c r="E39" s="2" t="s">
        <v>95</v>
      </c>
      <c r="F39" s="2" t="s">
        <v>106</v>
      </c>
      <c r="G39" s="2" t="s">
        <v>60</v>
      </c>
      <c r="H39" s="2" t="s">
        <v>61</v>
      </c>
      <c r="I39" s="2" t="s">
        <v>85</v>
      </c>
      <c r="J39" s="2" t="s">
        <v>85</v>
      </c>
      <c r="K39" s="2" t="s">
        <v>86</v>
      </c>
      <c r="L39" s="2" t="s">
        <v>197</v>
      </c>
      <c r="M39" s="2">
        <v>26</v>
      </c>
      <c r="N39" s="2" t="s">
        <v>198</v>
      </c>
      <c r="O39" s="2" t="s">
        <v>199</v>
      </c>
      <c r="P39" s="2" t="s">
        <v>80</v>
      </c>
      <c r="Q39" s="2" t="s">
        <v>90</v>
      </c>
      <c r="R39" s="2" t="s">
        <v>91</v>
      </c>
      <c r="S39" s="2" t="s">
        <v>200</v>
      </c>
      <c r="T39" s="2" t="s">
        <v>201</v>
      </c>
      <c r="U39" s="2" t="s">
        <v>202</v>
      </c>
      <c r="V39" s="2" t="s">
        <v>201</v>
      </c>
      <c r="W39" s="2" t="s">
        <v>113</v>
      </c>
      <c r="X39" s="38">
        <v>409</v>
      </c>
      <c r="Y39" s="38">
        <v>184</v>
      </c>
      <c r="Z39" s="38">
        <v>225</v>
      </c>
      <c r="AA39" s="38">
        <v>293</v>
      </c>
      <c r="AB39" s="38">
        <v>112</v>
      </c>
      <c r="AC39" s="38">
        <v>181</v>
      </c>
      <c r="AD39" s="38">
        <v>22</v>
      </c>
      <c r="AE39" s="38">
        <v>10</v>
      </c>
      <c r="AF39" s="38">
        <v>12</v>
      </c>
      <c r="AG39" s="38">
        <v>0</v>
      </c>
      <c r="AH39" s="38">
        <v>0</v>
      </c>
      <c r="AI39" s="38">
        <v>0</v>
      </c>
      <c r="AJ39" s="38">
        <v>94</v>
      </c>
      <c r="AK39" s="37">
        <v>22.982885085574573</v>
      </c>
      <c r="AL39" s="40">
        <f t="shared" si="0"/>
        <v>62</v>
      </c>
      <c r="AM39" s="37">
        <f t="shared" si="1"/>
        <v>33.695652173913047</v>
      </c>
      <c r="AN39" s="40">
        <f t="shared" si="2"/>
        <v>32</v>
      </c>
      <c r="AO39" s="37">
        <f t="shared" si="3"/>
        <v>14.222222222222221</v>
      </c>
      <c r="AP39" s="38">
        <v>425</v>
      </c>
      <c r="AQ39" s="38">
        <v>181</v>
      </c>
      <c r="AR39" s="38">
        <v>244</v>
      </c>
      <c r="AS39" s="38">
        <v>174</v>
      </c>
      <c r="AT39" s="38">
        <v>70</v>
      </c>
      <c r="AU39" s="38">
        <v>104</v>
      </c>
      <c r="AV39" s="38">
        <v>87</v>
      </c>
      <c r="AW39" s="38">
        <v>30</v>
      </c>
      <c r="AX39" s="38">
        <v>57</v>
      </c>
      <c r="AY39" s="38">
        <v>418</v>
      </c>
      <c r="AZ39" s="38">
        <v>189</v>
      </c>
      <c r="BA39" s="38">
        <v>229</v>
      </c>
      <c r="BB39" s="38">
        <v>80</v>
      </c>
      <c r="BC39" s="37">
        <v>19.138755980861244</v>
      </c>
      <c r="BD39" s="40">
        <v>48</v>
      </c>
      <c r="BE39" s="37">
        <v>25.396825396825395</v>
      </c>
      <c r="BF39" s="40">
        <v>32</v>
      </c>
      <c r="BG39" s="37">
        <v>13.973799126637553</v>
      </c>
      <c r="BH39" s="38">
        <v>87</v>
      </c>
      <c r="BI39" s="38">
        <v>95</v>
      </c>
      <c r="BJ39" s="38">
        <v>32</v>
      </c>
      <c r="BK39" s="38">
        <v>63</v>
      </c>
      <c r="BL39" s="37">
        <v>91.578947368421055</v>
      </c>
      <c r="BM39" s="37">
        <v>93.75</v>
      </c>
      <c r="BN39" s="37">
        <v>90.476190476190482</v>
      </c>
      <c r="BO39" s="38">
        <v>146</v>
      </c>
      <c r="BP39" s="38">
        <v>65</v>
      </c>
      <c r="BQ39" s="38">
        <v>81</v>
      </c>
      <c r="BR39" s="37">
        <v>59.589041095890416</v>
      </c>
      <c r="BS39" s="37">
        <v>46.153846153846153</v>
      </c>
      <c r="BT39" s="37">
        <v>70.370370370370367</v>
      </c>
      <c r="BU39" s="2"/>
      <c r="BV39" s="2"/>
    </row>
    <row r="40" spans="1:74" ht="15.75" x14ac:dyDescent="0.3">
      <c r="A40" s="2" t="s">
        <v>54</v>
      </c>
      <c r="B40" s="2" t="s">
        <v>55</v>
      </c>
      <c r="C40" s="2" t="s">
        <v>105</v>
      </c>
      <c r="D40" s="2" t="s">
        <v>57</v>
      </c>
      <c r="E40" s="2" t="s">
        <v>95</v>
      </c>
      <c r="F40" s="2" t="s">
        <v>106</v>
      </c>
      <c r="G40" s="2" t="s">
        <v>60</v>
      </c>
      <c r="H40" s="2" t="s">
        <v>61</v>
      </c>
      <c r="I40" s="2" t="s">
        <v>62</v>
      </c>
      <c r="J40" s="2" t="s">
        <v>63</v>
      </c>
      <c r="K40" s="2" t="s">
        <v>203</v>
      </c>
      <c r="L40" s="2" t="s">
        <v>204</v>
      </c>
      <c r="M40" s="2">
        <v>107</v>
      </c>
      <c r="N40" s="2" t="s">
        <v>205</v>
      </c>
      <c r="O40" s="2" t="s">
        <v>206</v>
      </c>
      <c r="P40" s="2" t="s">
        <v>80</v>
      </c>
      <c r="Q40" s="2" t="s">
        <v>69</v>
      </c>
      <c r="R40" s="2" t="s">
        <v>70</v>
      </c>
      <c r="S40" s="2" t="s">
        <v>207</v>
      </c>
      <c r="T40" s="2" t="s">
        <v>208</v>
      </c>
      <c r="U40" s="2" t="s">
        <v>209</v>
      </c>
      <c r="V40" s="2" t="s">
        <v>208</v>
      </c>
      <c r="W40" s="2" t="s">
        <v>74</v>
      </c>
      <c r="X40" s="38">
        <v>823</v>
      </c>
      <c r="Y40" s="38">
        <v>361</v>
      </c>
      <c r="Z40" s="38">
        <v>462</v>
      </c>
      <c r="AA40" s="38">
        <v>525</v>
      </c>
      <c r="AB40" s="38">
        <v>210</v>
      </c>
      <c r="AC40" s="38">
        <v>315</v>
      </c>
      <c r="AD40" s="38">
        <v>22</v>
      </c>
      <c r="AE40" s="38">
        <v>10</v>
      </c>
      <c r="AF40" s="38">
        <v>12</v>
      </c>
      <c r="AG40" s="38">
        <v>0</v>
      </c>
      <c r="AH40" s="38">
        <v>0</v>
      </c>
      <c r="AI40" s="38">
        <v>0</v>
      </c>
      <c r="AJ40" s="38">
        <v>276</v>
      </c>
      <c r="AK40" s="37">
        <v>33.535844471445927</v>
      </c>
      <c r="AL40" s="40">
        <f t="shared" si="0"/>
        <v>141</v>
      </c>
      <c r="AM40" s="37">
        <f t="shared" si="1"/>
        <v>39.05817174515235</v>
      </c>
      <c r="AN40" s="40">
        <f t="shared" si="2"/>
        <v>135</v>
      </c>
      <c r="AO40" s="37">
        <f t="shared" si="3"/>
        <v>29.220779220779221</v>
      </c>
      <c r="AP40" s="38">
        <v>998</v>
      </c>
      <c r="AQ40" s="38">
        <v>477</v>
      </c>
      <c r="AR40" s="38">
        <v>521</v>
      </c>
      <c r="AS40" s="38">
        <v>367</v>
      </c>
      <c r="AT40" s="38">
        <v>193</v>
      </c>
      <c r="AU40" s="38">
        <v>174</v>
      </c>
      <c r="AV40" s="38">
        <v>173</v>
      </c>
      <c r="AW40" s="38">
        <v>61</v>
      </c>
      <c r="AX40" s="38">
        <v>112</v>
      </c>
      <c r="AY40" s="38">
        <v>949</v>
      </c>
      <c r="AZ40" s="38">
        <v>422</v>
      </c>
      <c r="BA40" s="38">
        <v>527</v>
      </c>
      <c r="BB40" s="38">
        <v>145</v>
      </c>
      <c r="BC40" s="37">
        <v>15.279241306638566</v>
      </c>
      <c r="BD40" s="40">
        <v>77</v>
      </c>
      <c r="BE40" s="37">
        <v>18.246445497630333</v>
      </c>
      <c r="BF40" s="40">
        <v>68</v>
      </c>
      <c r="BG40" s="37">
        <v>12.903225806451612</v>
      </c>
      <c r="BH40" s="38">
        <v>173</v>
      </c>
      <c r="BI40" s="38">
        <v>220</v>
      </c>
      <c r="BJ40" s="38">
        <v>83</v>
      </c>
      <c r="BK40" s="38">
        <v>137</v>
      </c>
      <c r="BL40" s="37">
        <v>78.63636363636364</v>
      </c>
      <c r="BM40" s="37">
        <v>73.493975903614455</v>
      </c>
      <c r="BN40" s="37">
        <v>81.751824817518255</v>
      </c>
      <c r="BO40" s="38">
        <v>338</v>
      </c>
      <c r="BP40" s="38">
        <v>167</v>
      </c>
      <c r="BQ40" s="38">
        <v>171</v>
      </c>
      <c r="BR40" s="37">
        <v>51.183431952662716</v>
      </c>
      <c r="BS40" s="37">
        <v>36.526946107784433</v>
      </c>
      <c r="BT40" s="37">
        <v>65.497076023391813</v>
      </c>
      <c r="BU40" s="2"/>
      <c r="BV40" s="2"/>
    </row>
    <row r="41" spans="1:74" ht="15.75" x14ac:dyDescent="0.3">
      <c r="A41" s="2" t="s">
        <v>54</v>
      </c>
      <c r="B41" s="2" t="s">
        <v>55</v>
      </c>
      <c r="C41" s="2" t="s">
        <v>105</v>
      </c>
      <c r="D41" s="2" t="s">
        <v>57</v>
      </c>
      <c r="E41" s="2" t="s">
        <v>95</v>
      </c>
      <c r="F41" s="2" t="s">
        <v>106</v>
      </c>
      <c r="G41" s="2" t="s">
        <v>60</v>
      </c>
      <c r="H41" s="2" t="s">
        <v>61</v>
      </c>
      <c r="I41" s="2" t="s">
        <v>62</v>
      </c>
      <c r="J41" s="2" t="s">
        <v>63</v>
      </c>
      <c r="K41" s="2" t="s">
        <v>203</v>
      </c>
      <c r="L41" s="2" t="s">
        <v>204</v>
      </c>
      <c r="M41" s="2">
        <v>107</v>
      </c>
      <c r="N41" s="2" t="s">
        <v>205</v>
      </c>
      <c r="O41" s="2" t="s">
        <v>206</v>
      </c>
      <c r="P41" s="2" t="s">
        <v>80</v>
      </c>
      <c r="Q41" s="2" t="s">
        <v>69</v>
      </c>
      <c r="R41" s="2" t="s">
        <v>70</v>
      </c>
      <c r="S41" s="2" t="s">
        <v>207</v>
      </c>
      <c r="T41" s="2" t="s">
        <v>208</v>
      </c>
      <c r="U41" s="2" t="s">
        <v>209</v>
      </c>
      <c r="V41" s="2" t="s">
        <v>208</v>
      </c>
      <c r="W41" s="2" t="s">
        <v>113</v>
      </c>
      <c r="X41" s="38">
        <v>653</v>
      </c>
      <c r="Y41" s="38">
        <v>297</v>
      </c>
      <c r="Z41" s="38">
        <v>356</v>
      </c>
      <c r="AA41" s="38">
        <v>403</v>
      </c>
      <c r="AB41" s="38">
        <v>171</v>
      </c>
      <c r="AC41" s="38">
        <v>232</v>
      </c>
      <c r="AD41" s="38">
        <v>33</v>
      </c>
      <c r="AE41" s="38">
        <v>21</v>
      </c>
      <c r="AF41" s="38">
        <v>12</v>
      </c>
      <c r="AG41" s="38">
        <v>0</v>
      </c>
      <c r="AH41" s="38">
        <v>0</v>
      </c>
      <c r="AI41" s="38">
        <v>0</v>
      </c>
      <c r="AJ41" s="38">
        <v>217</v>
      </c>
      <c r="AK41" s="37">
        <v>33.231240428790201</v>
      </c>
      <c r="AL41" s="40">
        <f t="shared" si="0"/>
        <v>105</v>
      </c>
      <c r="AM41" s="37">
        <f t="shared" si="1"/>
        <v>35.353535353535356</v>
      </c>
      <c r="AN41" s="40">
        <f t="shared" si="2"/>
        <v>112</v>
      </c>
      <c r="AO41" s="37">
        <f t="shared" si="3"/>
        <v>31.460674157303369</v>
      </c>
      <c r="AP41" s="38">
        <v>768</v>
      </c>
      <c r="AQ41" s="38">
        <v>357</v>
      </c>
      <c r="AR41" s="38">
        <v>411</v>
      </c>
      <c r="AS41" s="38">
        <v>334</v>
      </c>
      <c r="AT41" s="38">
        <v>150</v>
      </c>
      <c r="AU41" s="38">
        <v>184</v>
      </c>
      <c r="AV41" s="38">
        <v>144</v>
      </c>
      <c r="AW41" s="38">
        <v>61</v>
      </c>
      <c r="AX41" s="38">
        <v>83</v>
      </c>
      <c r="AY41" s="38">
        <v>772</v>
      </c>
      <c r="AZ41" s="38">
        <v>374</v>
      </c>
      <c r="BA41" s="38">
        <v>398</v>
      </c>
      <c r="BB41" s="38">
        <v>194</v>
      </c>
      <c r="BC41" s="37">
        <v>25.129533678756477</v>
      </c>
      <c r="BD41" s="40">
        <v>106</v>
      </c>
      <c r="BE41" s="37">
        <v>28.342245989304814</v>
      </c>
      <c r="BF41" s="40">
        <v>88</v>
      </c>
      <c r="BG41" s="37">
        <v>22.110552763819097</v>
      </c>
      <c r="BH41" s="38">
        <v>144</v>
      </c>
      <c r="BI41" s="38">
        <v>176</v>
      </c>
      <c r="BJ41" s="38">
        <v>73</v>
      </c>
      <c r="BK41" s="38">
        <v>103</v>
      </c>
      <c r="BL41" s="37">
        <v>81.818181818181827</v>
      </c>
      <c r="BM41" s="37">
        <v>83.561643835616437</v>
      </c>
      <c r="BN41" s="37">
        <v>80.582524271844662</v>
      </c>
      <c r="BO41" s="38">
        <v>378</v>
      </c>
      <c r="BP41" s="38">
        <v>177</v>
      </c>
      <c r="BQ41" s="38">
        <v>201</v>
      </c>
      <c r="BR41" s="37">
        <v>38.095238095238095</v>
      </c>
      <c r="BS41" s="37">
        <v>34.463276836158194</v>
      </c>
      <c r="BT41" s="37">
        <v>41.293532338308459</v>
      </c>
      <c r="BU41" s="2"/>
      <c r="BV41" s="2"/>
    </row>
    <row r="42" spans="1:74" ht="15.75" x14ac:dyDescent="0.3">
      <c r="A42" s="2" t="s">
        <v>54</v>
      </c>
      <c r="B42" s="2" t="s">
        <v>55</v>
      </c>
      <c r="C42" s="2" t="s">
        <v>105</v>
      </c>
      <c r="D42" s="2" t="s">
        <v>57</v>
      </c>
      <c r="E42" s="2" t="s">
        <v>95</v>
      </c>
      <c r="F42" s="2" t="s">
        <v>106</v>
      </c>
      <c r="G42" s="2" t="s">
        <v>60</v>
      </c>
      <c r="H42" s="2" t="s">
        <v>61</v>
      </c>
      <c r="I42" s="2" t="s">
        <v>210</v>
      </c>
      <c r="J42" s="2" t="s">
        <v>210</v>
      </c>
      <c r="K42" s="2" t="s">
        <v>76</v>
      </c>
      <c r="L42" s="2" t="s">
        <v>211</v>
      </c>
      <c r="M42" s="2">
        <v>0</v>
      </c>
      <c r="N42" s="2" t="s">
        <v>212</v>
      </c>
      <c r="O42" s="2" t="s">
        <v>213</v>
      </c>
      <c r="P42" s="2" t="s">
        <v>80</v>
      </c>
      <c r="Q42" s="2" t="s">
        <v>144</v>
      </c>
      <c r="R42" s="2" t="s">
        <v>145</v>
      </c>
      <c r="S42" s="2" t="s">
        <v>214</v>
      </c>
      <c r="T42" s="2" t="s">
        <v>215</v>
      </c>
      <c r="U42" s="2" t="s">
        <v>216</v>
      </c>
      <c r="V42" s="2" t="s">
        <v>215</v>
      </c>
      <c r="W42" s="2" t="s">
        <v>74</v>
      </c>
      <c r="X42" s="38">
        <v>418</v>
      </c>
      <c r="Y42" s="38">
        <v>170</v>
      </c>
      <c r="Z42" s="38">
        <v>248</v>
      </c>
      <c r="AA42" s="38">
        <v>363</v>
      </c>
      <c r="AB42" s="38">
        <v>127</v>
      </c>
      <c r="AC42" s="38">
        <v>236</v>
      </c>
      <c r="AD42" s="38">
        <v>20</v>
      </c>
      <c r="AE42" s="38">
        <v>17</v>
      </c>
      <c r="AF42" s="38">
        <v>3</v>
      </c>
      <c r="AG42" s="38">
        <v>0</v>
      </c>
      <c r="AH42" s="38">
        <v>0</v>
      </c>
      <c r="AI42" s="38">
        <v>0</v>
      </c>
      <c r="AJ42" s="38">
        <v>35</v>
      </c>
      <c r="AK42" s="37">
        <v>8.3732057416267942</v>
      </c>
      <c r="AL42" s="40">
        <f t="shared" si="0"/>
        <v>26</v>
      </c>
      <c r="AM42" s="37">
        <f t="shared" si="1"/>
        <v>15.294117647058824</v>
      </c>
      <c r="AN42" s="40">
        <f t="shared" si="2"/>
        <v>9</v>
      </c>
      <c r="AO42" s="37">
        <f t="shared" si="3"/>
        <v>3.6290322580645165</v>
      </c>
      <c r="AP42" s="38">
        <v>428</v>
      </c>
      <c r="AQ42" s="38">
        <v>181</v>
      </c>
      <c r="AR42" s="38">
        <v>247</v>
      </c>
      <c r="AS42" s="38">
        <v>144</v>
      </c>
      <c r="AT42" s="38">
        <v>56</v>
      </c>
      <c r="AU42" s="38">
        <v>88</v>
      </c>
      <c r="AV42" s="38">
        <v>121</v>
      </c>
      <c r="AW42" s="38">
        <v>40</v>
      </c>
      <c r="AX42" s="38">
        <v>81</v>
      </c>
      <c r="AY42" s="38">
        <v>425</v>
      </c>
      <c r="AZ42" s="38">
        <v>173</v>
      </c>
      <c r="BA42" s="38">
        <v>252</v>
      </c>
      <c r="BB42" s="38">
        <v>20</v>
      </c>
      <c r="BC42" s="37">
        <v>4.7058823529411766</v>
      </c>
      <c r="BD42" s="40">
        <v>8</v>
      </c>
      <c r="BE42" s="37">
        <v>4.6242774566473983</v>
      </c>
      <c r="BF42" s="40">
        <v>12</v>
      </c>
      <c r="BG42" s="37">
        <v>4.7619047619047619</v>
      </c>
      <c r="BH42" s="38">
        <v>121</v>
      </c>
      <c r="BI42" s="38">
        <v>129</v>
      </c>
      <c r="BJ42" s="38">
        <v>45</v>
      </c>
      <c r="BK42" s="38">
        <v>84</v>
      </c>
      <c r="BL42" s="37">
        <v>93.798449612403104</v>
      </c>
      <c r="BM42" s="37">
        <v>88.888888888888886</v>
      </c>
      <c r="BN42" s="37">
        <v>96.428571428571431</v>
      </c>
      <c r="BO42" s="38">
        <v>189</v>
      </c>
      <c r="BP42" s="38">
        <v>78</v>
      </c>
      <c r="BQ42" s="38">
        <v>111</v>
      </c>
      <c r="BR42" s="37">
        <v>64.021164021164026</v>
      </c>
      <c r="BS42" s="37">
        <v>51.282051282051277</v>
      </c>
      <c r="BT42" s="37">
        <v>72.972972972972968</v>
      </c>
      <c r="BU42" s="2"/>
      <c r="BV42" s="2"/>
    </row>
    <row r="43" spans="1:74" ht="15.75" x14ac:dyDescent="0.3">
      <c r="A43" s="2" t="s">
        <v>54</v>
      </c>
      <c r="B43" s="2" t="s">
        <v>55</v>
      </c>
      <c r="C43" s="2" t="s">
        <v>105</v>
      </c>
      <c r="D43" s="2" t="s">
        <v>57</v>
      </c>
      <c r="E43" s="2" t="s">
        <v>95</v>
      </c>
      <c r="F43" s="2" t="s">
        <v>106</v>
      </c>
      <c r="G43" s="2" t="s">
        <v>186</v>
      </c>
      <c r="H43" s="2" t="s">
        <v>61</v>
      </c>
      <c r="I43" s="2" t="s">
        <v>217</v>
      </c>
      <c r="J43" s="2" t="s">
        <v>218</v>
      </c>
      <c r="K43" s="2" t="s">
        <v>219</v>
      </c>
      <c r="L43" s="2" t="s">
        <v>220</v>
      </c>
      <c r="M43" s="2">
        <v>0</v>
      </c>
      <c r="N43" s="2" t="s">
        <v>221</v>
      </c>
      <c r="O43" s="2" t="s">
        <v>222</v>
      </c>
      <c r="P43" s="2" t="s">
        <v>80</v>
      </c>
      <c r="Q43" s="2" t="s">
        <v>135</v>
      </c>
      <c r="R43" s="2" t="s">
        <v>136</v>
      </c>
      <c r="S43" s="2" t="s">
        <v>223</v>
      </c>
      <c r="T43" s="2" t="s">
        <v>224</v>
      </c>
      <c r="U43" s="2" t="s">
        <v>225</v>
      </c>
      <c r="V43" s="2" t="s">
        <v>224</v>
      </c>
      <c r="W43" s="2" t="s">
        <v>74</v>
      </c>
      <c r="X43" s="38">
        <v>151</v>
      </c>
      <c r="Y43" s="38">
        <v>57</v>
      </c>
      <c r="Z43" s="38">
        <v>94</v>
      </c>
      <c r="AA43" s="38">
        <v>125</v>
      </c>
      <c r="AB43" s="38">
        <v>42</v>
      </c>
      <c r="AC43" s="38">
        <v>83</v>
      </c>
      <c r="AD43" s="38">
        <v>6</v>
      </c>
      <c r="AE43" s="38">
        <v>2</v>
      </c>
      <c r="AF43" s="38">
        <v>4</v>
      </c>
      <c r="AG43" s="38">
        <v>0</v>
      </c>
      <c r="AH43" s="38">
        <v>0</v>
      </c>
      <c r="AI43" s="38">
        <v>0</v>
      </c>
      <c r="AJ43" s="38">
        <v>20</v>
      </c>
      <c r="AK43" s="37">
        <v>13.245033112582782</v>
      </c>
      <c r="AL43" s="40">
        <f t="shared" si="0"/>
        <v>13</v>
      </c>
      <c r="AM43" s="37">
        <f t="shared" si="1"/>
        <v>22.807017543859647</v>
      </c>
      <c r="AN43" s="40">
        <f t="shared" si="2"/>
        <v>7</v>
      </c>
      <c r="AO43" s="37">
        <f t="shared" si="3"/>
        <v>7.4468085106382977</v>
      </c>
      <c r="AP43" s="38">
        <v>163</v>
      </c>
      <c r="AQ43" s="38">
        <v>56</v>
      </c>
      <c r="AR43" s="38">
        <v>107</v>
      </c>
      <c r="AS43" s="38">
        <v>67</v>
      </c>
      <c r="AT43" s="38">
        <v>27</v>
      </c>
      <c r="AU43" s="38">
        <v>40</v>
      </c>
      <c r="AV43" s="38">
        <v>39</v>
      </c>
      <c r="AW43" s="38">
        <v>18</v>
      </c>
      <c r="AX43" s="38">
        <v>21</v>
      </c>
      <c r="AY43" s="38">
        <v>154</v>
      </c>
      <c r="AZ43" s="38">
        <v>61</v>
      </c>
      <c r="BA43" s="38">
        <v>93</v>
      </c>
      <c r="BB43" s="38">
        <v>19</v>
      </c>
      <c r="BC43" s="37">
        <v>12.337662337662337</v>
      </c>
      <c r="BD43" s="40">
        <v>14</v>
      </c>
      <c r="BE43" s="37">
        <v>22.950819672131146</v>
      </c>
      <c r="BF43" s="40">
        <v>5</v>
      </c>
      <c r="BG43" s="37">
        <v>5.376344086021505</v>
      </c>
      <c r="BH43" s="38">
        <v>39</v>
      </c>
      <c r="BI43" s="38">
        <v>46</v>
      </c>
      <c r="BJ43" s="38">
        <v>22</v>
      </c>
      <c r="BK43" s="38">
        <v>24</v>
      </c>
      <c r="BL43" s="37">
        <v>84.782608695652172</v>
      </c>
      <c r="BM43" s="37">
        <v>81.818181818181827</v>
      </c>
      <c r="BN43" s="37">
        <v>87.5</v>
      </c>
      <c r="BO43" s="38">
        <v>64</v>
      </c>
      <c r="BP43" s="38">
        <v>37</v>
      </c>
      <c r="BQ43" s="38">
        <v>27</v>
      </c>
      <c r="BR43" s="37">
        <v>60.9375</v>
      </c>
      <c r="BS43" s="37">
        <v>48.648648648648653</v>
      </c>
      <c r="BT43" s="37">
        <v>77.777777777777786</v>
      </c>
      <c r="BU43" s="2"/>
      <c r="BV43" s="2"/>
    </row>
    <row r="44" spans="1:74" ht="15.75" x14ac:dyDescent="0.3">
      <c r="A44" s="2" t="s">
        <v>54</v>
      </c>
      <c r="B44" s="2" t="s">
        <v>55</v>
      </c>
      <c r="C44" s="2" t="s">
        <v>105</v>
      </c>
      <c r="D44" s="2" t="s">
        <v>57</v>
      </c>
      <c r="E44" s="2" t="s">
        <v>95</v>
      </c>
      <c r="F44" s="2" t="s">
        <v>106</v>
      </c>
      <c r="G44" s="2" t="s">
        <v>186</v>
      </c>
      <c r="H44" s="2" t="s">
        <v>61</v>
      </c>
      <c r="I44" s="2" t="s">
        <v>122</v>
      </c>
      <c r="J44" s="2" t="s">
        <v>226</v>
      </c>
      <c r="K44" s="2" t="s">
        <v>76</v>
      </c>
      <c r="L44" s="2" t="s">
        <v>227</v>
      </c>
      <c r="M44" s="2">
        <v>0</v>
      </c>
      <c r="N44" s="2" t="s">
        <v>228</v>
      </c>
      <c r="O44" s="2" t="s">
        <v>229</v>
      </c>
      <c r="P44" s="2" t="s">
        <v>80</v>
      </c>
      <c r="Q44" s="2" t="s">
        <v>69</v>
      </c>
      <c r="R44" s="2" t="s">
        <v>70</v>
      </c>
      <c r="S44" s="2" t="s">
        <v>230</v>
      </c>
      <c r="T44" s="2" t="s">
        <v>231</v>
      </c>
      <c r="U44" s="2" t="s">
        <v>232</v>
      </c>
      <c r="V44" s="2" t="s">
        <v>231</v>
      </c>
      <c r="W44" s="2" t="s">
        <v>74</v>
      </c>
      <c r="X44" s="38">
        <v>320</v>
      </c>
      <c r="Y44" s="38">
        <v>147</v>
      </c>
      <c r="Z44" s="38">
        <v>173</v>
      </c>
      <c r="AA44" s="38">
        <v>243</v>
      </c>
      <c r="AB44" s="38">
        <v>107</v>
      </c>
      <c r="AC44" s="38">
        <v>136</v>
      </c>
      <c r="AD44" s="38">
        <v>12</v>
      </c>
      <c r="AE44" s="38">
        <v>5</v>
      </c>
      <c r="AF44" s="38">
        <v>7</v>
      </c>
      <c r="AG44" s="38">
        <v>0</v>
      </c>
      <c r="AH44" s="38">
        <v>0</v>
      </c>
      <c r="AI44" s="38">
        <v>0</v>
      </c>
      <c r="AJ44" s="38">
        <v>65</v>
      </c>
      <c r="AK44" s="37">
        <v>20.3125</v>
      </c>
      <c r="AL44" s="40">
        <f t="shared" si="0"/>
        <v>35</v>
      </c>
      <c r="AM44" s="37">
        <f t="shared" si="1"/>
        <v>23.809523809523807</v>
      </c>
      <c r="AN44" s="40">
        <f t="shared" si="2"/>
        <v>30</v>
      </c>
      <c r="AO44" s="37">
        <f t="shared" si="3"/>
        <v>17.341040462427745</v>
      </c>
      <c r="AP44" s="38">
        <v>392</v>
      </c>
      <c r="AQ44" s="38">
        <v>180</v>
      </c>
      <c r="AR44" s="38">
        <v>212</v>
      </c>
      <c r="AS44" s="38">
        <v>152</v>
      </c>
      <c r="AT44" s="38">
        <v>69</v>
      </c>
      <c r="AU44" s="38">
        <v>83</v>
      </c>
      <c r="AV44" s="38">
        <v>49</v>
      </c>
      <c r="AW44" s="38">
        <v>20</v>
      </c>
      <c r="AX44" s="38">
        <v>29</v>
      </c>
      <c r="AY44" s="38">
        <v>334</v>
      </c>
      <c r="AZ44" s="38">
        <v>159</v>
      </c>
      <c r="BA44" s="38">
        <v>175</v>
      </c>
      <c r="BB44" s="38">
        <v>45</v>
      </c>
      <c r="BC44" s="37">
        <v>13.473053892215569</v>
      </c>
      <c r="BD44" s="40">
        <v>28</v>
      </c>
      <c r="BE44" s="37">
        <v>17.610062893081761</v>
      </c>
      <c r="BF44" s="40">
        <v>17</v>
      </c>
      <c r="BG44" s="37">
        <v>9.7142857142857135</v>
      </c>
      <c r="BH44" s="38">
        <v>49</v>
      </c>
      <c r="BI44" s="38">
        <v>68</v>
      </c>
      <c r="BJ44" s="38">
        <v>28</v>
      </c>
      <c r="BK44" s="38">
        <v>40</v>
      </c>
      <c r="BL44" s="37">
        <v>72.058823529411768</v>
      </c>
      <c r="BM44" s="37">
        <v>71.428571428571431</v>
      </c>
      <c r="BN44" s="37">
        <v>72.5</v>
      </c>
      <c r="BO44" s="38">
        <v>132</v>
      </c>
      <c r="BP44" s="38">
        <v>73</v>
      </c>
      <c r="BQ44" s="38">
        <v>59</v>
      </c>
      <c r="BR44" s="37">
        <v>37.121212121212125</v>
      </c>
      <c r="BS44" s="37">
        <v>27.397260273972602</v>
      </c>
      <c r="BT44" s="37">
        <v>49.152542372881356</v>
      </c>
      <c r="BU44" s="2"/>
      <c r="BV44" s="2"/>
    </row>
    <row r="45" spans="1:74" ht="15.75" x14ac:dyDescent="0.3">
      <c r="A45" s="2" t="s">
        <v>54</v>
      </c>
      <c r="B45" s="2" t="s">
        <v>55</v>
      </c>
      <c r="C45" s="2" t="s">
        <v>105</v>
      </c>
      <c r="D45" s="2" t="s">
        <v>57</v>
      </c>
      <c r="E45" s="2" t="s">
        <v>95</v>
      </c>
      <c r="F45" s="2" t="s">
        <v>106</v>
      </c>
      <c r="G45" s="2" t="s">
        <v>60</v>
      </c>
      <c r="H45" s="2" t="s">
        <v>61</v>
      </c>
      <c r="I45" s="2" t="s">
        <v>157</v>
      </c>
      <c r="J45" s="2" t="s">
        <v>233</v>
      </c>
      <c r="K45" s="2" t="s">
        <v>76</v>
      </c>
      <c r="L45" s="2" t="s">
        <v>234</v>
      </c>
      <c r="M45" s="2">
        <v>0</v>
      </c>
      <c r="N45" s="2" t="s">
        <v>235</v>
      </c>
      <c r="O45" s="2" t="s">
        <v>236</v>
      </c>
      <c r="P45" s="2" t="s">
        <v>80</v>
      </c>
      <c r="Q45" s="2" t="s">
        <v>69</v>
      </c>
      <c r="R45" s="2" t="s">
        <v>70</v>
      </c>
      <c r="S45" s="2" t="s">
        <v>237</v>
      </c>
      <c r="T45" s="2" t="s">
        <v>238</v>
      </c>
      <c r="U45" s="2" t="s">
        <v>239</v>
      </c>
      <c r="V45" s="2" t="s">
        <v>238</v>
      </c>
      <c r="W45" s="2" t="s">
        <v>74</v>
      </c>
      <c r="X45" s="38">
        <v>357</v>
      </c>
      <c r="Y45" s="38">
        <v>136</v>
      </c>
      <c r="Z45" s="38">
        <v>221</v>
      </c>
      <c r="AA45" s="38">
        <v>278</v>
      </c>
      <c r="AB45" s="38">
        <v>91</v>
      </c>
      <c r="AC45" s="38">
        <v>187</v>
      </c>
      <c r="AD45" s="38">
        <v>4</v>
      </c>
      <c r="AE45" s="38">
        <v>4</v>
      </c>
      <c r="AF45" s="38">
        <v>0</v>
      </c>
      <c r="AG45" s="38">
        <v>0</v>
      </c>
      <c r="AH45" s="38">
        <v>0</v>
      </c>
      <c r="AI45" s="38">
        <v>0</v>
      </c>
      <c r="AJ45" s="38">
        <v>75</v>
      </c>
      <c r="AK45" s="37">
        <v>21.008403361344538</v>
      </c>
      <c r="AL45" s="40">
        <f t="shared" si="0"/>
        <v>41</v>
      </c>
      <c r="AM45" s="37">
        <f t="shared" si="1"/>
        <v>30.147058823529409</v>
      </c>
      <c r="AN45" s="40">
        <f t="shared" si="2"/>
        <v>34</v>
      </c>
      <c r="AO45" s="37">
        <f t="shared" si="3"/>
        <v>15.384615384615385</v>
      </c>
      <c r="AP45" s="38">
        <v>397</v>
      </c>
      <c r="AQ45" s="38">
        <v>155</v>
      </c>
      <c r="AR45" s="38">
        <v>242</v>
      </c>
      <c r="AS45" s="38">
        <v>150</v>
      </c>
      <c r="AT45" s="38">
        <v>57</v>
      </c>
      <c r="AU45" s="38">
        <v>93</v>
      </c>
      <c r="AV45" s="38">
        <v>90</v>
      </c>
      <c r="AW45" s="38">
        <v>29</v>
      </c>
      <c r="AX45" s="38">
        <v>61</v>
      </c>
      <c r="AY45" s="38">
        <v>371</v>
      </c>
      <c r="AZ45" s="38">
        <v>142</v>
      </c>
      <c r="BA45" s="38">
        <v>229</v>
      </c>
      <c r="BB45" s="38">
        <v>34</v>
      </c>
      <c r="BC45" s="37">
        <v>9.1644204851752029</v>
      </c>
      <c r="BD45" s="40">
        <v>15</v>
      </c>
      <c r="BE45" s="37">
        <v>10.56338028169014</v>
      </c>
      <c r="BF45" s="40">
        <v>19</v>
      </c>
      <c r="BG45" s="37">
        <v>8.2969432314410483</v>
      </c>
      <c r="BH45" s="38">
        <v>90</v>
      </c>
      <c r="BI45" s="38">
        <v>93</v>
      </c>
      <c r="BJ45" s="38">
        <v>30</v>
      </c>
      <c r="BK45" s="38">
        <v>63</v>
      </c>
      <c r="BL45" s="37">
        <v>96.774193548387103</v>
      </c>
      <c r="BM45" s="37">
        <v>96.666666666666671</v>
      </c>
      <c r="BN45" s="37">
        <v>96.825396825396822</v>
      </c>
      <c r="BO45" s="38">
        <v>103</v>
      </c>
      <c r="BP45" s="38">
        <v>46</v>
      </c>
      <c r="BQ45" s="38">
        <v>57</v>
      </c>
      <c r="BR45" s="37">
        <v>87.378640776699029</v>
      </c>
      <c r="BS45" s="37">
        <v>63.04347826086957</v>
      </c>
      <c r="BT45" s="37">
        <v>107.01754385964912</v>
      </c>
      <c r="BU45" s="2"/>
      <c r="BV45" s="2"/>
    </row>
    <row r="46" spans="1:74" ht="15.75" x14ac:dyDescent="0.3">
      <c r="A46" s="2" t="s">
        <v>54</v>
      </c>
      <c r="B46" s="2" t="s">
        <v>55</v>
      </c>
      <c r="C46" s="2" t="s">
        <v>105</v>
      </c>
      <c r="D46" s="2" t="s">
        <v>57</v>
      </c>
      <c r="E46" s="2" t="s">
        <v>95</v>
      </c>
      <c r="F46" s="2" t="s">
        <v>106</v>
      </c>
      <c r="G46" s="2" t="s">
        <v>60</v>
      </c>
      <c r="H46" s="2" t="s">
        <v>61</v>
      </c>
      <c r="I46" s="2" t="s">
        <v>157</v>
      </c>
      <c r="J46" s="2" t="s">
        <v>233</v>
      </c>
      <c r="K46" s="2" t="s">
        <v>76</v>
      </c>
      <c r="L46" s="2" t="s">
        <v>234</v>
      </c>
      <c r="M46" s="2">
        <v>0</v>
      </c>
      <c r="N46" s="2" t="s">
        <v>235</v>
      </c>
      <c r="O46" s="2" t="s">
        <v>236</v>
      </c>
      <c r="P46" s="2" t="s">
        <v>80</v>
      </c>
      <c r="Q46" s="2" t="s">
        <v>69</v>
      </c>
      <c r="R46" s="2" t="s">
        <v>70</v>
      </c>
      <c r="S46" s="2" t="s">
        <v>237</v>
      </c>
      <c r="T46" s="2" t="s">
        <v>238</v>
      </c>
      <c r="U46" s="2" t="s">
        <v>239</v>
      </c>
      <c r="V46" s="2" t="s">
        <v>238</v>
      </c>
      <c r="W46" s="2" t="s">
        <v>113</v>
      </c>
      <c r="X46" s="38">
        <v>210</v>
      </c>
      <c r="Y46" s="38">
        <v>101</v>
      </c>
      <c r="Z46" s="38">
        <v>109</v>
      </c>
      <c r="AA46" s="38">
        <v>155</v>
      </c>
      <c r="AB46" s="38">
        <v>60</v>
      </c>
      <c r="AC46" s="38">
        <v>95</v>
      </c>
      <c r="AD46" s="38">
        <v>5</v>
      </c>
      <c r="AE46" s="38">
        <v>4</v>
      </c>
      <c r="AF46" s="38">
        <v>1</v>
      </c>
      <c r="AG46" s="38">
        <v>0</v>
      </c>
      <c r="AH46" s="38">
        <v>0</v>
      </c>
      <c r="AI46" s="38">
        <v>0</v>
      </c>
      <c r="AJ46" s="38">
        <v>50</v>
      </c>
      <c r="AK46" s="37">
        <v>23.809523809523807</v>
      </c>
      <c r="AL46" s="40">
        <f t="shared" si="0"/>
        <v>37</v>
      </c>
      <c r="AM46" s="37">
        <f t="shared" si="1"/>
        <v>36.633663366336634</v>
      </c>
      <c r="AN46" s="40">
        <f t="shared" si="2"/>
        <v>13</v>
      </c>
      <c r="AO46" s="37">
        <f t="shared" si="3"/>
        <v>11.926605504587156</v>
      </c>
      <c r="AP46" s="38">
        <v>301</v>
      </c>
      <c r="AQ46" s="38">
        <v>142</v>
      </c>
      <c r="AR46" s="38">
        <v>159</v>
      </c>
      <c r="AS46" s="38">
        <v>146</v>
      </c>
      <c r="AT46" s="38">
        <v>70</v>
      </c>
      <c r="AU46" s="38">
        <v>76</v>
      </c>
      <c r="AV46" s="38">
        <v>37</v>
      </c>
      <c r="AW46" s="38">
        <v>13</v>
      </c>
      <c r="AX46" s="38">
        <v>24</v>
      </c>
      <c r="AY46" s="38">
        <v>231</v>
      </c>
      <c r="AZ46" s="38">
        <v>113</v>
      </c>
      <c r="BA46" s="38">
        <v>118</v>
      </c>
      <c r="BB46" s="38">
        <v>39</v>
      </c>
      <c r="BC46" s="37">
        <v>16.883116883116884</v>
      </c>
      <c r="BD46" s="40">
        <v>28</v>
      </c>
      <c r="BE46" s="37">
        <v>24.778761061946902</v>
      </c>
      <c r="BF46" s="40">
        <v>11</v>
      </c>
      <c r="BG46" s="37">
        <v>9.3220338983050848</v>
      </c>
      <c r="BH46" s="38">
        <v>37</v>
      </c>
      <c r="BI46" s="38">
        <v>37</v>
      </c>
      <c r="BJ46" s="38">
        <v>13</v>
      </c>
      <c r="BK46" s="38">
        <v>24</v>
      </c>
      <c r="BL46" s="37">
        <v>100</v>
      </c>
      <c r="BM46" s="37">
        <v>100</v>
      </c>
      <c r="BN46" s="37">
        <v>100</v>
      </c>
      <c r="BO46" s="38">
        <v>118</v>
      </c>
      <c r="BP46" s="38">
        <v>50</v>
      </c>
      <c r="BQ46" s="38">
        <v>68</v>
      </c>
      <c r="BR46" s="37">
        <v>31.35593220338983</v>
      </c>
      <c r="BS46" s="37">
        <v>26</v>
      </c>
      <c r="BT46" s="37">
        <v>35.294117647058826</v>
      </c>
      <c r="BU46" s="2"/>
      <c r="BV46" s="2"/>
    </row>
    <row r="47" spans="1:74" ht="15.75" x14ac:dyDescent="0.3">
      <c r="A47" s="2" t="s">
        <v>54</v>
      </c>
      <c r="B47" s="2" t="s">
        <v>55</v>
      </c>
      <c r="C47" s="2" t="s">
        <v>105</v>
      </c>
      <c r="D47" s="2" t="s">
        <v>57</v>
      </c>
      <c r="E47" s="2" t="s">
        <v>95</v>
      </c>
      <c r="F47" s="2" t="s">
        <v>106</v>
      </c>
      <c r="G47" s="2" t="s">
        <v>60</v>
      </c>
      <c r="H47" s="2" t="s">
        <v>61</v>
      </c>
      <c r="I47" s="2" t="s">
        <v>157</v>
      </c>
      <c r="J47" s="2" t="s">
        <v>240</v>
      </c>
      <c r="K47" s="2" t="s">
        <v>76</v>
      </c>
      <c r="L47" s="2" t="s">
        <v>241</v>
      </c>
      <c r="M47" s="2">
        <v>0</v>
      </c>
      <c r="N47" s="2" t="s">
        <v>242</v>
      </c>
      <c r="O47" s="2" t="s">
        <v>80</v>
      </c>
      <c r="P47" s="2" t="s">
        <v>80</v>
      </c>
      <c r="Q47" s="2" t="s">
        <v>69</v>
      </c>
      <c r="R47" s="2" t="s">
        <v>70</v>
      </c>
      <c r="S47" s="2" t="s">
        <v>243</v>
      </c>
      <c r="T47" s="2" t="s">
        <v>244</v>
      </c>
      <c r="U47" s="2" t="s">
        <v>245</v>
      </c>
      <c r="V47" s="2" t="s">
        <v>244</v>
      </c>
      <c r="W47" s="2" t="s">
        <v>74</v>
      </c>
      <c r="X47" s="38">
        <v>485</v>
      </c>
      <c r="Y47" s="38">
        <v>214</v>
      </c>
      <c r="Z47" s="38">
        <v>271</v>
      </c>
      <c r="AA47" s="38">
        <v>391</v>
      </c>
      <c r="AB47" s="38">
        <v>155</v>
      </c>
      <c r="AC47" s="38">
        <v>236</v>
      </c>
      <c r="AD47" s="38">
        <v>6</v>
      </c>
      <c r="AE47" s="38">
        <v>4</v>
      </c>
      <c r="AF47" s="38">
        <v>2</v>
      </c>
      <c r="AG47" s="38">
        <v>0</v>
      </c>
      <c r="AH47" s="38">
        <v>0</v>
      </c>
      <c r="AI47" s="38">
        <v>0</v>
      </c>
      <c r="AJ47" s="38">
        <v>88</v>
      </c>
      <c r="AK47" s="37">
        <v>18.144329896907216</v>
      </c>
      <c r="AL47" s="40">
        <f t="shared" si="0"/>
        <v>55</v>
      </c>
      <c r="AM47" s="37">
        <f t="shared" si="1"/>
        <v>25.700934579439249</v>
      </c>
      <c r="AN47" s="40">
        <f t="shared" si="2"/>
        <v>33</v>
      </c>
      <c r="AO47" s="37">
        <f t="shared" si="3"/>
        <v>12.177121771217712</v>
      </c>
      <c r="AP47" s="38">
        <v>544</v>
      </c>
      <c r="AQ47" s="38">
        <v>246</v>
      </c>
      <c r="AR47" s="38">
        <v>298</v>
      </c>
      <c r="AS47" s="38">
        <v>152</v>
      </c>
      <c r="AT47" s="38">
        <v>71</v>
      </c>
      <c r="AU47" s="38">
        <v>81</v>
      </c>
      <c r="AV47" s="38">
        <v>125</v>
      </c>
      <c r="AW47" s="38">
        <v>45</v>
      </c>
      <c r="AX47" s="38">
        <v>80</v>
      </c>
      <c r="AY47" s="38">
        <v>530</v>
      </c>
      <c r="AZ47" s="38">
        <v>240</v>
      </c>
      <c r="BA47" s="38">
        <v>290</v>
      </c>
      <c r="BB47" s="38">
        <v>13</v>
      </c>
      <c r="BC47" s="37">
        <v>2.4528301886792456</v>
      </c>
      <c r="BD47" s="40">
        <v>20</v>
      </c>
      <c r="BE47" s="37">
        <v>8.3333333333333321</v>
      </c>
      <c r="BF47" s="40">
        <v>-7</v>
      </c>
      <c r="BG47" s="37">
        <v>-2.4137931034482758</v>
      </c>
      <c r="BH47" s="38">
        <v>125</v>
      </c>
      <c r="BI47" s="38">
        <v>125</v>
      </c>
      <c r="BJ47" s="38">
        <v>44</v>
      </c>
      <c r="BK47" s="38">
        <v>81</v>
      </c>
      <c r="BL47" s="37">
        <v>100</v>
      </c>
      <c r="BM47" s="37">
        <v>102.27272727272727</v>
      </c>
      <c r="BN47" s="37">
        <v>98.76543209876543</v>
      </c>
      <c r="BO47" s="38">
        <v>191</v>
      </c>
      <c r="BP47" s="38">
        <v>81</v>
      </c>
      <c r="BQ47" s="38">
        <v>110</v>
      </c>
      <c r="BR47" s="37">
        <v>65.445026178010465</v>
      </c>
      <c r="BS47" s="37">
        <v>55.555555555555557</v>
      </c>
      <c r="BT47" s="37">
        <v>72.727272727272734</v>
      </c>
      <c r="BU47" s="2"/>
      <c r="BV47" s="2"/>
    </row>
    <row r="48" spans="1:74" ht="15.75" x14ac:dyDescent="0.3">
      <c r="A48" s="2" t="s">
        <v>54</v>
      </c>
      <c r="B48" s="2" t="s">
        <v>55</v>
      </c>
      <c r="C48" s="2" t="s">
        <v>105</v>
      </c>
      <c r="D48" s="2" t="s">
        <v>57</v>
      </c>
      <c r="E48" s="2" t="s">
        <v>95</v>
      </c>
      <c r="F48" s="2" t="s">
        <v>106</v>
      </c>
      <c r="G48" s="2" t="s">
        <v>60</v>
      </c>
      <c r="H48" s="2" t="s">
        <v>61</v>
      </c>
      <c r="I48" s="2" t="s">
        <v>157</v>
      </c>
      <c r="J48" s="2" t="s">
        <v>240</v>
      </c>
      <c r="K48" s="2" t="s">
        <v>76</v>
      </c>
      <c r="L48" s="2" t="s">
        <v>241</v>
      </c>
      <c r="M48" s="2">
        <v>0</v>
      </c>
      <c r="N48" s="2" t="s">
        <v>242</v>
      </c>
      <c r="O48" s="2" t="s">
        <v>80</v>
      </c>
      <c r="P48" s="2" t="s">
        <v>80</v>
      </c>
      <c r="Q48" s="2" t="s">
        <v>69</v>
      </c>
      <c r="R48" s="2" t="s">
        <v>70</v>
      </c>
      <c r="S48" s="2" t="s">
        <v>243</v>
      </c>
      <c r="T48" s="2" t="s">
        <v>244</v>
      </c>
      <c r="U48" s="2" t="s">
        <v>245</v>
      </c>
      <c r="V48" s="2" t="s">
        <v>244</v>
      </c>
      <c r="W48" s="2" t="s">
        <v>113</v>
      </c>
      <c r="X48" s="38">
        <v>417</v>
      </c>
      <c r="Y48" s="38">
        <v>171</v>
      </c>
      <c r="Z48" s="38">
        <v>246</v>
      </c>
      <c r="AA48" s="38">
        <v>365</v>
      </c>
      <c r="AB48" s="38">
        <v>141</v>
      </c>
      <c r="AC48" s="38">
        <v>224</v>
      </c>
      <c r="AD48" s="38">
        <v>6</v>
      </c>
      <c r="AE48" s="38">
        <v>2</v>
      </c>
      <c r="AF48" s="38">
        <v>4</v>
      </c>
      <c r="AG48" s="38">
        <v>0</v>
      </c>
      <c r="AH48" s="38">
        <v>0</v>
      </c>
      <c r="AI48" s="38">
        <v>0</v>
      </c>
      <c r="AJ48" s="38">
        <v>46</v>
      </c>
      <c r="AK48" s="37">
        <v>11.031175059952037</v>
      </c>
      <c r="AL48" s="40">
        <f t="shared" si="0"/>
        <v>28</v>
      </c>
      <c r="AM48" s="37">
        <f t="shared" si="1"/>
        <v>16.374269005847953</v>
      </c>
      <c r="AN48" s="40">
        <f t="shared" si="2"/>
        <v>18</v>
      </c>
      <c r="AO48" s="37">
        <f t="shared" si="3"/>
        <v>7.3170731707317067</v>
      </c>
      <c r="AP48" s="38">
        <v>426</v>
      </c>
      <c r="AQ48" s="38">
        <v>179</v>
      </c>
      <c r="AR48" s="38">
        <v>247</v>
      </c>
      <c r="AS48" s="38">
        <v>155</v>
      </c>
      <c r="AT48" s="38">
        <v>66</v>
      </c>
      <c r="AU48" s="38">
        <v>89</v>
      </c>
      <c r="AV48" s="38">
        <v>96</v>
      </c>
      <c r="AW48" s="38">
        <v>40</v>
      </c>
      <c r="AX48" s="38">
        <v>56</v>
      </c>
      <c r="AY48" s="38">
        <v>376</v>
      </c>
      <c r="AZ48" s="38">
        <v>154</v>
      </c>
      <c r="BA48" s="38">
        <v>222</v>
      </c>
      <c r="BB48" s="38">
        <v>9</v>
      </c>
      <c r="BC48" s="37">
        <v>2.3936170212765959</v>
      </c>
      <c r="BD48" s="40">
        <v>1</v>
      </c>
      <c r="BE48" s="37">
        <v>0.64935064935064934</v>
      </c>
      <c r="BF48" s="40">
        <v>8</v>
      </c>
      <c r="BG48" s="37">
        <v>3.6036036036036037</v>
      </c>
      <c r="BH48" s="38">
        <v>96</v>
      </c>
      <c r="BI48" s="38">
        <v>98</v>
      </c>
      <c r="BJ48" s="38">
        <v>39</v>
      </c>
      <c r="BK48" s="38">
        <v>59</v>
      </c>
      <c r="BL48" s="37">
        <v>97.959183673469383</v>
      </c>
      <c r="BM48" s="37">
        <v>102.56410256410255</v>
      </c>
      <c r="BN48" s="37">
        <v>94.915254237288138</v>
      </c>
      <c r="BO48" s="38">
        <v>148</v>
      </c>
      <c r="BP48" s="38">
        <v>62</v>
      </c>
      <c r="BQ48" s="38">
        <v>86</v>
      </c>
      <c r="BR48" s="37">
        <v>64.86486486486487</v>
      </c>
      <c r="BS48" s="37">
        <v>64.516129032258064</v>
      </c>
      <c r="BT48" s="37">
        <v>65.116279069767444</v>
      </c>
      <c r="BU48" s="2"/>
      <c r="BV48" s="2"/>
    </row>
    <row r="49" spans="1:74" ht="15.75" x14ac:dyDescent="0.3">
      <c r="A49" s="2" t="s">
        <v>54</v>
      </c>
      <c r="B49" s="2" t="s">
        <v>55</v>
      </c>
      <c r="C49" s="2" t="s">
        <v>105</v>
      </c>
      <c r="D49" s="2" t="s">
        <v>57</v>
      </c>
      <c r="E49" s="2" t="s">
        <v>95</v>
      </c>
      <c r="F49" s="2" t="s">
        <v>106</v>
      </c>
      <c r="G49" s="2" t="s">
        <v>60</v>
      </c>
      <c r="H49" s="2" t="s">
        <v>61</v>
      </c>
      <c r="I49" s="2" t="s">
        <v>62</v>
      </c>
      <c r="J49" s="2" t="s">
        <v>63</v>
      </c>
      <c r="K49" s="2" t="s">
        <v>246</v>
      </c>
      <c r="L49" s="2" t="s">
        <v>247</v>
      </c>
      <c r="M49" s="2">
        <v>0</v>
      </c>
      <c r="N49" s="2" t="s">
        <v>248</v>
      </c>
      <c r="O49" s="2" t="s">
        <v>249</v>
      </c>
      <c r="P49" s="2" t="s">
        <v>80</v>
      </c>
      <c r="Q49" s="2" t="s">
        <v>69</v>
      </c>
      <c r="R49" s="2" t="s">
        <v>70</v>
      </c>
      <c r="S49" s="2" t="s">
        <v>250</v>
      </c>
      <c r="T49" s="2" t="s">
        <v>251</v>
      </c>
      <c r="U49" s="2" t="s">
        <v>252</v>
      </c>
      <c r="V49" s="2" t="s">
        <v>251</v>
      </c>
      <c r="W49" s="2" t="s">
        <v>74</v>
      </c>
      <c r="X49" s="38">
        <v>705</v>
      </c>
      <c r="Y49" s="38">
        <v>308</v>
      </c>
      <c r="Z49" s="38">
        <v>397</v>
      </c>
      <c r="AA49" s="38">
        <v>361</v>
      </c>
      <c r="AB49" s="38">
        <v>129</v>
      </c>
      <c r="AC49" s="38">
        <v>232</v>
      </c>
      <c r="AD49" s="38">
        <v>29</v>
      </c>
      <c r="AE49" s="38">
        <v>11</v>
      </c>
      <c r="AF49" s="38">
        <v>18</v>
      </c>
      <c r="AG49" s="38">
        <v>0</v>
      </c>
      <c r="AH49" s="38">
        <v>0</v>
      </c>
      <c r="AI49" s="38">
        <v>0</v>
      </c>
      <c r="AJ49" s="38">
        <v>315</v>
      </c>
      <c r="AK49" s="37">
        <v>44.680851063829785</v>
      </c>
      <c r="AL49" s="40">
        <f t="shared" si="0"/>
        <v>168</v>
      </c>
      <c r="AM49" s="37">
        <f t="shared" si="1"/>
        <v>54.54545454545454</v>
      </c>
      <c r="AN49" s="40">
        <f t="shared" si="2"/>
        <v>147</v>
      </c>
      <c r="AO49" s="37">
        <f t="shared" si="3"/>
        <v>37.02770780856423</v>
      </c>
      <c r="AP49" s="38">
        <v>847</v>
      </c>
      <c r="AQ49" s="38">
        <v>393</v>
      </c>
      <c r="AR49" s="38">
        <v>454</v>
      </c>
      <c r="AS49" s="38">
        <v>370</v>
      </c>
      <c r="AT49" s="38">
        <v>190</v>
      </c>
      <c r="AU49" s="38">
        <v>180</v>
      </c>
      <c r="AV49" s="38">
        <v>163</v>
      </c>
      <c r="AW49" s="38">
        <v>52</v>
      </c>
      <c r="AX49" s="38">
        <v>111</v>
      </c>
      <c r="AY49" s="38">
        <v>826</v>
      </c>
      <c r="AZ49" s="38">
        <v>381</v>
      </c>
      <c r="BA49" s="38">
        <v>445</v>
      </c>
      <c r="BB49" s="38">
        <v>186</v>
      </c>
      <c r="BC49" s="37">
        <v>22.518159806295397</v>
      </c>
      <c r="BD49" s="40">
        <v>126</v>
      </c>
      <c r="BE49" s="37">
        <v>33.070866141732289</v>
      </c>
      <c r="BF49" s="40">
        <v>60</v>
      </c>
      <c r="BG49" s="37">
        <v>13.48314606741573</v>
      </c>
      <c r="BH49" s="38">
        <v>163</v>
      </c>
      <c r="BI49" s="38">
        <v>186</v>
      </c>
      <c r="BJ49" s="38">
        <v>61</v>
      </c>
      <c r="BK49" s="38">
        <v>125</v>
      </c>
      <c r="BL49" s="37">
        <v>87.634408602150543</v>
      </c>
      <c r="BM49" s="37">
        <v>85.245901639344254</v>
      </c>
      <c r="BN49" s="37">
        <v>88.8</v>
      </c>
      <c r="BO49" s="38">
        <v>345</v>
      </c>
      <c r="BP49" s="38">
        <v>171</v>
      </c>
      <c r="BQ49" s="38">
        <v>174</v>
      </c>
      <c r="BR49" s="37">
        <v>47.246376811594203</v>
      </c>
      <c r="BS49" s="37">
        <v>30.409356725146196</v>
      </c>
      <c r="BT49" s="37">
        <v>63.793103448275865</v>
      </c>
      <c r="BU49" s="2"/>
      <c r="BV49" s="2"/>
    </row>
    <row r="50" spans="1:74" ht="15.75" x14ac:dyDescent="0.3">
      <c r="A50" s="2" t="s">
        <v>54</v>
      </c>
      <c r="B50" s="2" t="s">
        <v>55</v>
      </c>
      <c r="C50" s="2" t="s">
        <v>105</v>
      </c>
      <c r="D50" s="2" t="s">
        <v>57</v>
      </c>
      <c r="E50" s="2" t="s">
        <v>95</v>
      </c>
      <c r="F50" s="2" t="s">
        <v>106</v>
      </c>
      <c r="G50" s="2" t="s">
        <v>60</v>
      </c>
      <c r="H50" s="2" t="s">
        <v>61</v>
      </c>
      <c r="I50" s="2" t="s">
        <v>62</v>
      </c>
      <c r="J50" s="2" t="s">
        <v>63</v>
      </c>
      <c r="K50" s="2" t="s">
        <v>246</v>
      </c>
      <c r="L50" s="2" t="s">
        <v>247</v>
      </c>
      <c r="M50" s="2">
        <v>0</v>
      </c>
      <c r="N50" s="2" t="s">
        <v>248</v>
      </c>
      <c r="O50" s="2" t="s">
        <v>249</v>
      </c>
      <c r="P50" s="2" t="s">
        <v>80</v>
      </c>
      <c r="Q50" s="2" t="s">
        <v>69</v>
      </c>
      <c r="R50" s="2" t="s">
        <v>70</v>
      </c>
      <c r="S50" s="2" t="s">
        <v>250</v>
      </c>
      <c r="T50" s="2" t="s">
        <v>251</v>
      </c>
      <c r="U50" s="2" t="s">
        <v>252</v>
      </c>
      <c r="V50" s="2" t="s">
        <v>251</v>
      </c>
      <c r="W50" s="2" t="s">
        <v>113</v>
      </c>
      <c r="X50" s="38">
        <v>571</v>
      </c>
      <c r="Y50" s="38">
        <v>246</v>
      </c>
      <c r="Z50" s="38">
        <v>325</v>
      </c>
      <c r="AA50" s="38">
        <v>366</v>
      </c>
      <c r="AB50" s="38">
        <v>132</v>
      </c>
      <c r="AC50" s="38">
        <v>234</v>
      </c>
      <c r="AD50" s="38">
        <v>30</v>
      </c>
      <c r="AE50" s="38">
        <v>17</v>
      </c>
      <c r="AF50" s="38">
        <v>13</v>
      </c>
      <c r="AG50" s="38">
        <v>0</v>
      </c>
      <c r="AH50" s="38">
        <v>0</v>
      </c>
      <c r="AI50" s="38">
        <v>0</v>
      </c>
      <c r="AJ50" s="38">
        <v>175</v>
      </c>
      <c r="AK50" s="37">
        <v>30.64798598949212</v>
      </c>
      <c r="AL50" s="40">
        <f t="shared" si="0"/>
        <v>97</v>
      </c>
      <c r="AM50" s="37">
        <f t="shared" si="1"/>
        <v>39.430894308943088</v>
      </c>
      <c r="AN50" s="40">
        <f t="shared" si="2"/>
        <v>78</v>
      </c>
      <c r="AO50" s="37">
        <f t="shared" si="3"/>
        <v>24</v>
      </c>
      <c r="AP50" s="38">
        <v>748</v>
      </c>
      <c r="AQ50" s="38">
        <v>348</v>
      </c>
      <c r="AR50" s="38">
        <v>400</v>
      </c>
      <c r="AS50" s="38">
        <v>328</v>
      </c>
      <c r="AT50" s="38">
        <v>161</v>
      </c>
      <c r="AU50" s="38">
        <v>167</v>
      </c>
      <c r="AV50" s="38">
        <v>120</v>
      </c>
      <c r="AW50" s="38">
        <v>44</v>
      </c>
      <c r="AX50" s="38">
        <v>76</v>
      </c>
      <c r="AY50" s="38">
        <v>663</v>
      </c>
      <c r="AZ50" s="38">
        <v>290</v>
      </c>
      <c r="BA50" s="38">
        <v>373</v>
      </c>
      <c r="BB50" s="38">
        <v>123</v>
      </c>
      <c r="BC50" s="37">
        <v>18.552036199095024</v>
      </c>
      <c r="BD50" s="40">
        <v>59</v>
      </c>
      <c r="BE50" s="37">
        <v>20.344827586206897</v>
      </c>
      <c r="BF50" s="40">
        <v>64</v>
      </c>
      <c r="BG50" s="37">
        <v>17.158176943699733</v>
      </c>
      <c r="BH50" s="38">
        <v>120</v>
      </c>
      <c r="BI50" s="38">
        <v>129</v>
      </c>
      <c r="BJ50" s="38">
        <v>46</v>
      </c>
      <c r="BK50" s="38">
        <v>83</v>
      </c>
      <c r="BL50" s="37">
        <v>93.023255813953483</v>
      </c>
      <c r="BM50" s="37">
        <v>95.652173913043484</v>
      </c>
      <c r="BN50" s="37">
        <v>91.566265060240966</v>
      </c>
      <c r="BO50" s="38">
        <v>355</v>
      </c>
      <c r="BP50" s="38">
        <v>166</v>
      </c>
      <c r="BQ50" s="38">
        <v>189</v>
      </c>
      <c r="BR50" s="37">
        <v>33.802816901408448</v>
      </c>
      <c r="BS50" s="37">
        <v>26.506024096385545</v>
      </c>
      <c r="BT50" s="37">
        <v>40.211640211640209</v>
      </c>
      <c r="BU50" s="2"/>
      <c r="BV50" s="2"/>
    </row>
    <row r="51" spans="1:74" ht="15.75" x14ac:dyDescent="0.3">
      <c r="A51" s="2" t="s">
        <v>54</v>
      </c>
      <c r="B51" s="2" t="s">
        <v>55</v>
      </c>
      <c r="C51" s="2" t="s">
        <v>105</v>
      </c>
      <c r="D51" s="2" t="s">
        <v>57</v>
      </c>
      <c r="E51" s="2" t="s">
        <v>95</v>
      </c>
      <c r="F51" s="2" t="s">
        <v>106</v>
      </c>
      <c r="G51" s="2" t="s">
        <v>149</v>
      </c>
      <c r="H51" s="2" t="s">
        <v>149</v>
      </c>
      <c r="I51" s="2" t="s">
        <v>178</v>
      </c>
      <c r="J51" s="2" t="s">
        <v>253</v>
      </c>
      <c r="K51" s="2" t="s">
        <v>76</v>
      </c>
      <c r="L51" s="2" t="s">
        <v>254</v>
      </c>
      <c r="M51" s="2">
        <v>0</v>
      </c>
      <c r="N51" s="2" t="s">
        <v>255</v>
      </c>
      <c r="O51" s="2" t="s">
        <v>256</v>
      </c>
      <c r="P51" s="2" t="s">
        <v>80</v>
      </c>
      <c r="Q51" s="2" t="s">
        <v>90</v>
      </c>
      <c r="R51" s="2" t="s">
        <v>91</v>
      </c>
      <c r="S51" s="2" t="s">
        <v>257</v>
      </c>
      <c r="T51" s="2" t="s">
        <v>258</v>
      </c>
      <c r="U51" s="2" t="s">
        <v>259</v>
      </c>
      <c r="V51" s="2" t="s">
        <v>258</v>
      </c>
      <c r="W51" s="2" t="s">
        <v>74</v>
      </c>
      <c r="X51" s="38">
        <v>708</v>
      </c>
      <c r="Y51" s="38">
        <v>315</v>
      </c>
      <c r="Z51" s="38">
        <v>393</v>
      </c>
      <c r="AA51" s="38">
        <v>472</v>
      </c>
      <c r="AB51" s="38">
        <v>187</v>
      </c>
      <c r="AC51" s="38">
        <v>285</v>
      </c>
      <c r="AD51" s="38">
        <v>62</v>
      </c>
      <c r="AE51" s="38">
        <v>30</v>
      </c>
      <c r="AF51" s="38">
        <v>32</v>
      </c>
      <c r="AG51" s="38">
        <v>0</v>
      </c>
      <c r="AH51" s="38">
        <v>0</v>
      </c>
      <c r="AI51" s="38">
        <v>0</v>
      </c>
      <c r="AJ51" s="38">
        <v>174</v>
      </c>
      <c r="AK51" s="37">
        <v>24.576271186440678</v>
      </c>
      <c r="AL51" s="40">
        <f t="shared" si="0"/>
        <v>98</v>
      </c>
      <c r="AM51" s="37">
        <f t="shared" si="1"/>
        <v>31.111111111111111</v>
      </c>
      <c r="AN51" s="40">
        <f t="shared" si="2"/>
        <v>76</v>
      </c>
      <c r="AO51" s="37">
        <f t="shared" si="3"/>
        <v>19.338422391857506</v>
      </c>
      <c r="AP51" s="38">
        <v>760</v>
      </c>
      <c r="AQ51" s="38">
        <v>339</v>
      </c>
      <c r="AR51" s="38">
        <v>421</v>
      </c>
      <c r="AS51" s="38">
        <v>282</v>
      </c>
      <c r="AT51" s="38">
        <v>135</v>
      </c>
      <c r="AU51" s="38">
        <v>147</v>
      </c>
      <c r="AV51" s="38">
        <v>165</v>
      </c>
      <c r="AW51" s="38">
        <v>71</v>
      </c>
      <c r="AX51" s="38">
        <v>94</v>
      </c>
      <c r="AY51" s="38">
        <v>778</v>
      </c>
      <c r="AZ51" s="38">
        <v>345</v>
      </c>
      <c r="BA51" s="38">
        <v>433</v>
      </c>
      <c r="BB51" s="38">
        <v>135</v>
      </c>
      <c r="BC51" s="37">
        <v>17.352185089974292</v>
      </c>
      <c r="BD51" s="40">
        <v>70</v>
      </c>
      <c r="BE51" s="37">
        <v>20.289855072463769</v>
      </c>
      <c r="BF51" s="40">
        <v>65</v>
      </c>
      <c r="BG51" s="37">
        <v>15.011547344110854</v>
      </c>
      <c r="BH51" s="38">
        <v>165</v>
      </c>
      <c r="BI51" s="38">
        <v>215</v>
      </c>
      <c r="BJ51" s="38">
        <v>90</v>
      </c>
      <c r="BK51" s="38">
        <v>125</v>
      </c>
      <c r="BL51" s="37">
        <v>76.744186046511629</v>
      </c>
      <c r="BM51" s="37">
        <v>78.888888888888886</v>
      </c>
      <c r="BN51" s="37">
        <v>75.2</v>
      </c>
      <c r="BO51" s="38">
        <v>230</v>
      </c>
      <c r="BP51" s="38">
        <v>105</v>
      </c>
      <c r="BQ51" s="38">
        <v>125</v>
      </c>
      <c r="BR51" s="37">
        <v>71.739130434782609</v>
      </c>
      <c r="BS51" s="37">
        <v>67.61904761904762</v>
      </c>
      <c r="BT51" s="37">
        <v>75.2</v>
      </c>
      <c r="BU51" s="2"/>
      <c r="BV51" s="2"/>
    </row>
    <row r="52" spans="1:74" ht="15.75" x14ac:dyDescent="0.3">
      <c r="A52" s="2" t="s">
        <v>54</v>
      </c>
      <c r="B52" s="2" t="s">
        <v>55</v>
      </c>
      <c r="C52" s="2" t="s">
        <v>105</v>
      </c>
      <c r="D52" s="2" t="s">
        <v>57</v>
      </c>
      <c r="E52" s="2" t="s">
        <v>95</v>
      </c>
      <c r="F52" s="2" t="s">
        <v>106</v>
      </c>
      <c r="G52" s="2" t="s">
        <v>149</v>
      </c>
      <c r="H52" s="2" t="s">
        <v>149</v>
      </c>
      <c r="I52" s="2" t="s">
        <v>178</v>
      </c>
      <c r="J52" s="2" t="s">
        <v>253</v>
      </c>
      <c r="K52" s="2" t="s">
        <v>76</v>
      </c>
      <c r="L52" s="2" t="s">
        <v>254</v>
      </c>
      <c r="M52" s="2">
        <v>0</v>
      </c>
      <c r="N52" s="2" t="s">
        <v>255</v>
      </c>
      <c r="O52" s="2" t="s">
        <v>256</v>
      </c>
      <c r="P52" s="2" t="s">
        <v>80</v>
      </c>
      <c r="Q52" s="2" t="s">
        <v>90</v>
      </c>
      <c r="R52" s="2" t="s">
        <v>91</v>
      </c>
      <c r="S52" s="2" t="s">
        <v>257</v>
      </c>
      <c r="T52" s="2" t="s">
        <v>258</v>
      </c>
      <c r="U52" s="2" t="s">
        <v>259</v>
      </c>
      <c r="V52" s="2" t="s">
        <v>258</v>
      </c>
      <c r="W52" s="2" t="s">
        <v>113</v>
      </c>
      <c r="X52" s="38">
        <v>569</v>
      </c>
      <c r="Y52" s="38">
        <v>271</v>
      </c>
      <c r="Z52" s="38">
        <v>298</v>
      </c>
      <c r="AA52" s="38">
        <v>391</v>
      </c>
      <c r="AB52" s="38">
        <v>163</v>
      </c>
      <c r="AC52" s="38">
        <v>228</v>
      </c>
      <c r="AD52" s="38">
        <v>53</v>
      </c>
      <c r="AE52" s="38">
        <v>29</v>
      </c>
      <c r="AF52" s="38">
        <v>24</v>
      </c>
      <c r="AG52" s="38">
        <v>0</v>
      </c>
      <c r="AH52" s="38">
        <v>0</v>
      </c>
      <c r="AI52" s="38">
        <v>0</v>
      </c>
      <c r="AJ52" s="38">
        <v>125</v>
      </c>
      <c r="AK52" s="37">
        <v>21.968365553602812</v>
      </c>
      <c r="AL52" s="40">
        <f t="shared" si="0"/>
        <v>79</v>
      </c>
      <c r="AM52" s="37">
        <f t="shared" si="1"/>
        <v>29.15129151291513</v>
      </c>
      <c r="AN52" s="40">
        <f t="shared" si="2"/>
        <v>46</v>
      </c>
      <c r="AO52" s="37">
        <f t="shared" si="3"/>
        <v>15.436241610738255</v>
      </c>
      <c r="AP52" s="38">
        <v>712</v>
      </c>
      <c r="AQ52" s="38">
        <v>348</v>
      </c>
      <c r="AR52" s="38">
        <v>364</v>
      </c>
      <c r="AS52" s="38">
        <v>290</v>
      </c>
      <c r="AT52" s="38">
        <v>145</v>
      </c>
      <c r="AU52" s="38">
        <v>145</v>
      </c>
      <c r="AV52" s="38">
        <v>129</v>
      </c>
      <c r="AW52" s="38">
        <v>58</v>
      </c>
      <c r="AX52" s="38">
        <v>71</v>
      </c>
      <c r="AY52" s="38">
        <v>618</v>
      </c>
      <c r="AZ52" s="38">
        <v>295</v>
      </c>
      <c r="BA52" s="38">
        <v>323</v>
      </c>
      <c r="BB52" s="38">
        <v>67</v>
      </c>
      <c r="BC52" s="37">
        <v>10.841423948220065</v>
      </c>
      <c r="BD52" s="40">
        <v>34</v>
      </c>
      <c r="BE52" s="37">
        <v>11.525423728813559</v>
      </c>
      <c r="BF52" s="40">
        <v>33</v>
      </c>
      <c r="BG52" s="37">
        <v>10.216718266253871</v>
      </c>
      <c r="BH52" s="38">
        <v>129</v>
      </c>
      <c r="BI52" s="38">
        <v>108</v>
      </c>
      <c r="BJ52" s="38">
        <v>49</v>
      </c>
      <c r="BK52" s="38">
        <v>59</v>
      </c>
      <c r="BL52" s="37">
        <v>119.44444444444444</v>
      </c>
      <c r="BM52" s="37">
        <v>118.36734693877551</v>
      </c>
      <c r="BN52" s="37">
        <v>120.33898305084745</v>
      </c>
      <c r="BO52" s="38">
        <v>327</v>
      </c>
      <c r="BP52" s="38">
        <v>175</v>
      </c>
      <c r="BQ52" s="38">
        <v>152</v>
      </c>
      <c r="BR52" s="37">
        <v>39.449541284403672</v>
      </c>
      <c r="BS52" s="37">
        <v>33.142857142857139</v>
      </c>
      <c r="BT52" s="37">
        <v>46.710526315789473</v>
      </c>
      <c r="BU52" s="2"/>
      <c r="BV52" s="2"/>
    </row>
    <row r="53" spans="1:74" ht="15.75" x14ac:dyDescent="0.3">
      <c r="A53" s="2" t="s">
        <v>54</v>
      </c>
      <c r="B53" s="2" t="s">
        <v>55</v>
      </c>
      <c r="C53" s="2" t="s">
        <v>105</v>
      </c>
      <c r="D53" s="2" t="s">
        <v>57</v>
      </c>
      <c r="E53" s="2" t="s">
        <v>95</v>
      </c>
      <c r="F53" s="2" t="s">
        <v>106</v>
      </c>
      <c r="G53" s="2" t="s">
        <v>186</v>
      </c>
      <c r="H53" s="2" t="s">
        <v>260</v>
      </c>
      <c r="I53" s="2" t="s">
        <v>114</v>
      </c>
      <c r="J53" s="2" t="s">
        <v>261</v>
      </c>
      <c r="K53" s="2" t="s">
        <v>76</v>
      </c>
      <c r="L53" s="2" t="s">
        <v>262</v>
      </c>
      <c r="M53" s="2">
        <v>0</v>
      </c>
      <c r="N53" s="2" t="s">
        <v>263</v>
      </c>
      <c r="O53" s="2" t="s">
        <v>264</v>
      </c>
      <c r="P53" s="2" t="s">
        <v>80</v>
      </c>
      <c r="Q53" s="2" t="s">
        <v>90</v>
      </c>
      <c r="R53" s="2" t="s">
        <v>91</v>
      </c>
      <c r="S53" s="2" t="s">
        <v>265</v>
      </c>
      <c r="T53" s="2" t="s">
        <v>266</v>
      </c>
      <c r="U53" s="2" t="s">
        <v>267</v>
      </c>
      <c r="V53" s="2" t="s">
        <v>266</v>
      </c>
      <c r="W53" s="2" t="s">
        <v>74</v>
      </c>
      <c r="X53" s="38">
        <v>329</v>
      </c>
      <c r="Y53" s="38">
        <v>148</v>
      </c>
      <c r="Z53" s="38">
        <v>181</v>
      </c>
      <c r="AA53" s="38">
        <v>300</v>
      </c>
      <c r="AB53" s="38">
        <v>121</v>
      </c>
      <c r="AC53" s="38">
        <v>179</v>
      </c>
      <c r="AD53" s="38">
        <v>11</v>
      </c>
      <c r="AE53" s="38">
        <v>10</v>
      </c>
      <c r="AF53" s="38">
        <v>1</v>
      </c>
      <c r="AG53" s="38">
        <v>0</v>
      </c>
      <c r="AH53" s="38">
        <v>0</v>
      </c>
      <c r="AI53" s="38">
        <v>0</v>
      </c>
      <c r="AJ53" s="38">
        <v>18</v>
      </c>
      <c r="AK53" s="37">
        <v>5.4711246200607899</v>
      </c>
      <c r="AL53" s="40">
        <f t="shared" si="0"/>
        <v>17</v>
      </c>
      <c r="AM53" s="37">
        <f t="shared" si="1"/>
        <v>11.486486486486488</v>
      </c>
      <c r="AN53" s="40">
        <f t="shared" si="2"/>
        <v>1</v>
      </c>
      <c r="AO53" s="37">
        <f t="shared" si="3"/>
        <v>0.55248618784530379</v>
      </c>
      <c r="AP53" s="38">
        <v>431</v>
      </c>
      <c r="AQ53" s="38">
        <v>198</v>
      </c>
      <c r="AR53" s="38">
        <v>233</v>
      </c>
      <c r="AS53" s="38">
        <v>167</v>
      </c>
      <c r="AT53" s="38">
        <v>84</v>
      </c>
      <c r="AU53" s="38">
        <v>83</v>
      </c>
      <c r="AV53" s="38">
        <v>56</v>
      </c>
      <c r="AW53" s="38">
        <v>26</v>
      </c>
      <c r="AX53" s="38">
        <v>30</v>
      </c>
      <c r="AY53" s="38">
        <v>336</v>
      </c>
      <c r="AZ53" s="38">
        <v>152</v>
      </c>
      <c r="BA53" s="38">
        <v>184</v>
      </c>
      <c r="BB53" s="38">
        <v>16</v>
      </c>
      <c r="BC53" s="37">
        <v>4.7619047619047619</v>
      </c>
      <c r="BD53" s="40">
        <v>12</v>
      </c>
      <c r="BE53" s="37">
        <v>7.8947368421052628</v>
      </c>
      <c r="BF53" s="40">
        <v>4</v>
      </c>
      <c r="BG53" s="37">
        <v>2.1739130434782608</v>
      </c>
      <c r="BH53" s="38">
        <v>56</v>
      </c>
      <c r="BI53" s="38">
        <v>55</v>
      </c>
      <c r="BJ53" s="38">
        <v>26</v>
      </c>
      <c r="BK53" s="38">
        <v>29</v>
      </c>
      <c r="BL53" s="37">
        <v>101.81818181818181</v>
      </c>
      <c r="BM53" s="37">
        <v>100</v>
      </c>
      <c r="BN53" s="37">
        <v>103.44827586206897</v>
      </c>
      <c r="BO53" s="38">
        <v>148</v>
      </c>
      <c r="BP53" s="38">
        <v>76</v>
      </c>
      <c r="BQ53" s="38">
        <v>72</v>
      </c>
      <c r="BR53" s="37">
        <v>37.837837837837839</v>
      </c>
      <c r="BS53" s="37">
        <v>34.210526315789473</v>
      </c>
      <c r="BT53" s="37">
        <v>41.666666666666671</v>
      </c>
      <c r="BU53" s="2"/>
      <c r="BV53" s="2"/>
    </row>
    <row r="54" spans="1:74" ht="15.75" x14ac:dyDescent="0.3">
      <c r="A54" s="2" t="s">
        <v>54</v>
      </c>
      <c r="B54" s="2" t="s">
        <v>55</v>
      </c>
      <c r="C54" s="2" t="s">
        <v>105</v>
      </c>
      <c r="D54" s="2" t="s">
        <v>57</v>
      </c>
      <c r="E54" s="2" t="s">
        <v>95</v>
      </c>
      <c r="F54" s="2" t="s">
        <v>106</v>
      </c>
      <c r="G54" s="2" t="s">
        <v>60</v>
      </c>
      <c r="H54" s="2" t="s">
        <v>187</v>
      </c>
      <c r="I54" s="2" t="s">
        <v>178</v>
      </c>
      <c r="J54" s="2" t="s">
        <v>268</v>
      </c>
      <c r="K54" s="2" t="s">
        <v>76</v>
      </c>
      <c r="L54" s="2" t="s">
        <v>269</v>
      </c>
      <c r="M54" s="2">
        <v>0</v>
      </c>
      <c r="N54" s="2" t="s">
        <v>270</v>
      </c>
      <c r="O54" s="2" t="s">
        <v>271</v>
      </c>
      <c r="P54" s="2" t="s">
        <v>80</v>
      </c>
      <c r="Q54" s="2" t="s">
        <v>90</v>
      </c>
      <c r="R54" s="2" t="s">
        <v>91</v>
      </c>
      <c r="S54" s="2" t="s">
        <v>272</v>
      </c>
      <c r="T54" s="2" t="s">
        <v>273</v>
      </c>
      <c r="U54" s="2" t="s">
        <v>274</v>
      </c>
      <c r="V54" s="2" t="s">
        <v>273</v>
      </c>
      <c r="W54" s="2" t="s">
        <v>74</v>
      </c>
      <c r="X54" s="38">
        <v>359</v>
      </c>
      <c r="Y54" s="38">
        <v>150</v>
      </c>
      <c r="Z54" s="38">
        <v>209</v>
      </c>
      <c r="AA54" s="38">
        <v>333</v>
      </c>
      <c r="AB54" s="38">
        <v>128</v>
      </c>
      <c r="AC54" s="38">
        <v>205</v>
      </c>
      <c r="AD54" s="38">
        <v>9</v>
      </c>
      <c r="AE54" s="38">
        <v>6</v>
      </c>
      <c r="AF54" s="38">
        <v>3</v>
      </c>
      <c r="AG54" s="38">
        <v>0</v>
      </c>
      <c r="AH54" s="38">
        <v>0</v>
      </c>
      <c r="AI54" s="38">
        <v>0</v>
      </c>
      <c r="AJ54" s="38">
        <v>17</v>
      </c>
      <c r="AK54" s="37">
        <v>4.7353760445682447</v>
      </c>
      <c r="AL54" s="40">
        <f t="shared" si="0"/>
        <v>16</v>
      </c>
      <c r="AM54" s="37">
        <f t="shared" si="1"/>
        <v>10.666666666666668</v>
      </c>
      <c r="AN54" s="40">
        <f t="shared" si="2"/>
        <v>1</v>
      </c>
      <c r="AO54" s="37">
        <f t="shared" si="3"/>
        <v>0.4784688995215311</v>
      </c>
      <c r="AP54" s="38">
        <v>443</v>
      </c>
      <c r="AQ54" s="38">
        <v>191</v>
      </c>
      <c r="AR54" s="38">
        <v>252</v>
      </c>
      <c r="AS54" s="38">
        <v>179</v>
      </c>
      <c r="AT54" s="38">
        <v>81</v>
      </c>
      <c r="AU54" s="38">
        <v>98</v>
      </c>
      <c r="AV54" s="38">
        <v>84</v>
      </c>
      <c r="AW54" s="38">
        <v>31</v>
      </c>
      <c r="AX54" s="38">
        <v>53</v>
      </c>
      <c r="AY54" s="38">
        <v>379</v>
      </c>
      <c r="AZ54" s="38">
        <v>164</v>
      </c>
      <c r="BA54" s="38">
        <v>215</v>
      </c>
      <c r="BB54" s="38">
        <v>31</v>
      </c>
      <c r="BC54" s="37">
        <v>8.1794195250659634</v>
      </c>
      <c r="BD54" s="40">
        <v>23</v>
      </c>
      <c r="BE54" s="37">
        <v>14.02439024390244</v>
      </c>
      <c r="BF54" s="40">
        <v>8</v>
      </c>
      <c r="BG54" s="37">
        <v>3.7209302325581395</v>
      </c>
      <c r="BH54" s="38">
        <v>84</v>
      </c>
      <c r="BI54" s="38">
        <v>88</v>
      </c>
      <c r="BJ54" s="38">
        <v>31</v>
      </c>
      <c r="BK54" s="38">
        <v>57</v>
      </c>
      <c r="BL54" s="37">
        <v>95.454545454545453</v>
      </c>
      <c r="BM54" s="37">
        <v>100</v>
      </c>
      <c r="BN54" s="37">
        <v>92.982456140350877</v>
      </c>
      <c r="BO54" s="38">
        <v>144</v>
      </c>
      <c r="BP54" s="38">
        <v>65</v>
      </c>
      <c r="BQ54" s="38">
        <v>79</v>
      </c>
      <c r="BR54" s="37">
        <v>58.333333333333336</v>
      </c>
      <c r="BS54" s="37">
        <v>47.692307692307693</v>
      </c>
      <c r="BT54" s="37">
        <v>67.088607594936718</v>
      </c>
      <c r="BU54" s="2"/>
      <c r="BV54" s="2"/>
    </row>
    <row r="55" spans="1:74" ht="15.75" x14ac:dyDescent="0.3">
      <c r="A55" s="2" t="s">
        <v>54</v>
      </c>
      <c r="B55" s="2" t="s">
        <v>55</v>
      </c>
      <c r="C55" s="2" t="s">
        <v>105</v>
      </c>
      <c r="D55" s="2" t="s">
        <v>57</v>
      </c>
      <c r="E55" s="2" t="s">
        <v>95</v>
      </c>
      <c r="F55" s="2" t="s">
        <v>106</v>
      </c>
      <c r="G55" s="2" t="s">
        <v>186</v>
      </c>
      <c r="H55" s="2" t="s">
        <v>61</v>
      </c>
      <c r="I55" s="2" t="s">
        <v>275</v>
      </c>
      <c r="J55" s="2" t="s">
        <v>276</v>
      </c>
      <c r="K55" s="2" t="s">
        <v>76</v>
      </c>
      <c r="L55" s="2" t="s">
        <v>277</v>
      </c>
      <c r="M55" s="2">
        <v>29</v>
      </c>
      <c r="N55" s="2" t="s">
        <v>278</v>
      </c>
      <c r="O55" s="2" t="s">
        <v>279</v>
      </c>
      <c r="P55" s="2" t="s">
        <v>80</v>
      </c>
      <c r="Q55" s="2" t="s">
        <v>135</v>
      </c>
      <c r="R55" s="2" t="s">
        <v>136</v>
      </c>
      <c r="S55" s="2" t="s">
        <v>280</v>
      </c>
      <c r="T55" s="2" t="s">
        <v>281</v>
      </c>
      <c r="U55" s="2" t="s">
        <v>282</v>
      </c>
      <c r="V55" s="2" t="s">
        <v>281</v>
      </c>
      <c r="W55" s="2" t="s">
        <v>74</v>
      </c>
      <c r="X55" s="38">
        <v>238</v>
      </c>
      <c r="Y55" s="38">
        <v>99</v>
      </c>
      <c r="Z55" s="38">
        <v>139</v>
      </c>
      <c r="AA55" s="38">
        <v>227</v>
      </c>
      <c r="AB55" s="38">
        <v>91</v>
      </c>
      <c r="AC55" s="38">
        <v>136</v>
      </c>
      <c r="AD55" s="38">
        <v>2</v>
      </c>
      <c r="AE55" s="38">
        <v>2</v>
      </c>
      <c r="AF55" s="38">
        <v>0</v>
      </c>
      <c r="AG55" s="38">
        <v>0</v>
      </c>
      <c r="AH55" s="38">
        <v>0</v>
      </c>
      <c r="AI55" s="38">
        <v>0</v>
      </c>
      <c r="AJ55" s="38">
        <v>9</v>
      </c>
      <c r="AK55" s="37">
        <v>3.7815126050420167</v>
      </c>
      <c r="AL55" s="40">
        <f t="shared" si="0"/>
        <v>6</v>
      </c>
      <c r="AM55" s="37">
        <f t="shared" si="1"/>
        <v>6.0606060606060606</v>
      </c>
      <c r="AN55" s="40">
        <f t="shared" si="2"/>
        <v>3</v>
      </c>
      <c r="AO55" s="37">
        <f t="shared" si="3"/>
        <v>2.1582733812949639</v>
      </c>
      <c r="AP55" s="38">
        <v>266</v>
      </c>
      <c r="AQ55" s="38">
        <v>104</v>
      </c>
      <c r="AR55" s="38">
        <v>162</v>
      </c>
      <c r="AS55" s="38">
        <v>103</v>
      </c>
      <c r="AT55" s="38">
        <v>39</v>
      </c>
      <c r="AU55" s="38">
        <v>64</v>
      </c>
      <c r="AV55" s="38">
        <v>75</v>
      </c>
      <c r="AW55" s="38">
        <v>31</v>
      </c>
      <c r="AX55" s="38">
        <v>44</v>
      </c>
      <c r="AY55" s="38">
        <v>242</v>
      </c>
      <c r="AZ55" s="38">
        <v>99</v>
      </c>
      <c r="BA55" s="38">
        <v>143</v>
      </c>
      <c r="BB55" s="38">
        <v>4</v>
      </c>
      <c r="BC55" s="37">
        <v>1.6528925619834711</v>
      </c>
      <c r="BD55" s="40">
        <v>3</v>
      </c>
      <c r="BE55" s="37">
        <v>3.0303030303030303</v>
      </c>
      <c r="BF55" s="40">
        <v>1</v>
      </c>
      <c r="BG55" s="37">
        <v>0.69930069930069927</v>
      </c>
      <c r="BH55" s="38">
        <v>75</v>
      </c>
      <c r="BI55" s="38">
        <v>75</v>
      </c>
      <c r="BJ55" s="38">
        <v>31</v>
      </c>
      <c r="BK55" s="38">
        <v>44</v>
      </c>
      <c r="BL55" s="37">
        <v>100</v>
      </c>
      <c r="BM55" s="37">
        <v>100</v>
      </c>
      <c r="BN55" s="37">
        <v>100</v>
      </c>
      <c r="BO55" s="38">
        <v>95</v>
      </c>
      <c r="BP55" s="38">
        <v>41</v>
      </c>
      <c r="BQ55" s="38">
        <v>54</v>
      </c>
      <c r="BR55" s="37">
        <v>78.94736842105263</v>
      </c>
      <c r="BS55" s="37">
        <v>75.609756097560975</v>
      </c>
      <c r="BT55" s="37">
        <v>81.481481481481481</v>
      </c>
      <c r="BU55" s="2"/>
      <c r="BV55" s="2"/>
    </row>
    <row r="56" spans="1:74" ht="15.75" x14ac:dyDescent="0.3">
      <c r="A56" s="2" t="s">
        <v>54</v>
      </c>
      <c r="B56" s="2" t="s">
        <v>55</v>
      </c>
      <c r="C56" s="2" t="s">
        <v>105</v>
      </c>
      <c r="D56" s="2" t="s">
        <v>57</v>
      </c>
      <c r="E56" s="2" t="s">
        <v>95</v>
      </c>
      <c r="F56" s="2" t="s">
        <v>106</v>
      </c>
      <c r="G56" s="2" t="s">
        <v>60</v>
      </c>
      <c r="H56" s="2" t="s">
        <v>61</v>
      </c>
      <c r="I56" s="2" t="s">
        <v>62</v>
      </c>
      <c r="J56" s="2" t="s">
        <v>63</v>
      </c>
      <c r="K56" s="2" t="s">
        <v>283</v>
      </c>
      <c r="L56" s="2" t="s">
        <v>284</v>
      </c>
      <c r="M56" s="2">
        <v>0</v>
      </c>
      <c r="N56" s="2" t="s">
        <v>285</v>
      </c>
      <c r="O56" s="2" t="s">
        <v>286</v>
      </c>
      <c r="P56" s="2" t="s">
        <v>80</v>
      </c>
      <c r="Q56" s="2" t="s">
        <v>69</v>
      </c>
      <c r="R56" s="2" t="s">
        <v>70</v>
      </c>
      <c r="S56" s="2" t="s">
        <v>287</v>
      </c>
      <c r="T56" s="2" t="s">
        <v>288</v>
      </c>
      <c r="U56" s="2" t="s">
        <v>289</v>
      </c>
      <c r="V56" s="2" t="s">
        <v>288</v>
      </c>
      <c r="W56" s="2" t="s">
        <v>74</v>
      </c>
      <c r="X56" s="38">
        <v>794</v>
      </c>
      <c r="Y56" s="38">
        <v>323</v>
      </c>
      <c r="Z56" s="38">
        <v>471</v>
      </c>
      <c r="AA56" s="38">
        <v>613</v>
      </c>
      <c r="AB56" s="38">
        <v>233</v>
      </c>
      <c r="AC56" s="38">
        <v>380</v>
      </c>
      <c r="AD56" s="38">
        <v>12</v>
      </c>
      <c r="AE56" s="38">
        <v>7</v>
      </c>
      <c r="AF56" s="38">
        <v>5</v>
      </c>
      <c r="AG56" s="38">
        <v>0</v>
      </c>
      <c r="AH56" s="38">
        <v>0</v>
      </c>
      <c r="AI56" s="38">
        <v>0</v>
      </c>
      <c r="AJ56" s="38">
        <v>169</v>
      </c>
      <c r="AK56" s="37">
        <v>21.284634760705291</v>
      </c>
      <c r="AL56" s="40">
        <f t="shared" si="0"/>
        <v>83</v>
      </c>
      <c r="AM56" s="37">
        <f t="shared" si="1"/>
        <v>25.696594427244584</v>
      </c>
      <c r="AN56" s="40">
        <f t="shared" si="2"/>
        <v>86</v>
      </c>
      <c r="AO56" s="37">
        <f t="shared" si="3"/>
        <v>18.259023354564754</v>
      </c>
      <c r="AP56" s="38">
        <v>907</v>
      </c>
      <c r="AQ56" s="38">
        <v>385</v>
      </c>
      <c r="AR56" s="38">
        <v>522</v>
      </c>
      <c r="AS56" s="38">
        <v>299</v>
      </c>
      <c r="AT56" s="38">
        <v>145</v>
      </c>
      <c r="AU56" s="38">
        <v>154</v>
      </c>
      <c r="AV56" s="38">
        <v>170</v>
      </c>
      <c r="AW56" s="38">
        <v>73</v>
      </c>
      <c r="AX56" s="38">
        <v>97</v>
      </c>
      <c r="AY56" s="38">
        <v>890</v>
      </c>
      <c r="AZ56" s="38">
        <v>379</v>
      </c>
      <c r="BA56" s="38">
        <v>511</v>
      </c>
      <c r="BB56" s="38">
        <v>112</v>
      </c>
      <c r="BC56" s="37">
        <v>12.584269662921349</v>
      </c>
      <c r="BD56" s="40">
        <v>66</v>
      </c>
      <c r="BE56" s="37">
        <v>17.414248021108179</v>
      </c>
      <c r="BF56" s="40">
        <v>46</v>
      </c>
      <c r="BG56" s="37">
        <v>9.0019569471624266</v>
      </c>
      <c r="BH56" s="38">
        <v>170</v>
      </c>
      <c r="BI56" s="38">
        <v>191</v>
      </c>
      <c r="BJ56" s="38">
        <v>80</v>
      </c>
      <c r="BK56" s="38">
        <v>111</v>
      </c>
      <c r="BL56" s="37">
        <v>89.005235602094245</v>
      </c>
      <c r="BM56" s="37">
        <v>91.25</v>
      </c>
      <c r="BN56" s="37">
        <v>87.387387387387378</v>
      </c>
      <c r="BO56" s="38">
        <v>245</v>
      </c>
      <c r="BP56" s="38">
        <v>107</v>
      </c>
      <c r="BQ56" s="38">
        <v>138</v>
      </c>
      <c r="BR56" s="37">
        <v>69.387755102040813</v>
      </c>
      <c r="BS56" s="37">
        <v>68.224299065420553</v>
      </c>
      <c r="BT56" s="37">
        <v>70.289855072463766</v>
      </c>
      <c r="BU56" s="2"/>
      <c r="BV56" s="2"/>
    </row>
    <row r="57" spans="1:74" ht="15.75" x14ac:dyDescent="0.3">
      <c r="A57" s="2" t="s">
        <v>54</v>
      </c>
      <c r="B57" s="2" t="s">
        <v>55</v>
      </c>
      <c r="C57" s="2" t="s">
        <v>105</v>
      </c>
      <c r="D57" s="2" t="s">
        <v>57</v>
      </c>
      <c r="E57" s="2" t="s">
        <v>95</v>
      </c>
      <c r="F57" s="2" t="s">
        <v>106</v>
      </c>
      <c r="G57" s="2" t="s">
        <v>60</v>
      </c>
      <c r="H57" s="2" t="s">
        <v>61</v>
      </c>
      <c r="I57" s="2" t="s">
        <v>62</v>
      </c>
      <c r="J57" s="2" t="s">
        <v>63</v>
      </c>
      <c r="K57" s="2" t="s">
        <v>283</v>
      </c>
      <c r="L57" s="2" t="s">
        <v>284</v>
      </c>
      <c r="M57" s="2">
        <v>0</v>
      </c>
      <c r="N57" s="2" t="s">
        <v>285</v>
      </c>
      <c r="O57" s="2" t="s">
        <v>286</v>
      </c>
      <c r="P57" s="2" t="s">
        <v>80</v>
      </c>
      <c r="Q57" s="2" t="s">
        <v>69</v>
      </c>
      <c r="R57" s="2" t="s">
        <v>70</v>
      </c>
      <c r="S57" s="2" t="s">
        <v>287</v>
      </c>
      <c r="T57" s="2" t="s">
        <v>288</v>
      </c>
      <c r="U57" s="2" t="s">
        <v>289</v>
      </c>
      <c r="V57" s="2" t="s">
        <v>288</v>
      </c>
      <c r="W57" s="2" t="s">
        <v>113</v>
      </c>
      <c r="X57" s="38">
        <v>655</v>
      </c>
      <c r="Y57" s="38">
        <v>284</v>
      </c>
      <c r="Z57" s="38">
        <v>371</v>
      </c>
      <c r="AA57" s="38">
        <v>500</v>
      </c>
      <c r="AB57" s="38">
        <v>200</v>
      </c>
      <c r="AC57" s="38">
        <v>300</v>
      </c>
      <c r="AD57" s="38">
        <v>2</v>
      </c>
      <c r="AE57" s="38">
        <v>1</v>
      </c>
      <c r="AF57" s="38">
        <v>1</v>
      </c>
      <c r="AG57" s="38">
        <v>0</v>
      </c>
      <c r="AH57" s="38">
        <v>0</v>
      </c>
      <c r="AI57" s="38">
        <v>0</v>
      </c>
      <c r="AJ57" s="38">
        <v>153</v>
      </c>
      <c r="AK57" s="37">
        <v>23.358778625954198</v>
      </c>
      <c r="AL57" s="40">
        <f t="shared" si="0"/>
        <v>83</v>
      </c>
      <c r="AM57" s="37">
        <f t="shared" si="1"/>
        <v>29.225352112676056</v>
      </c>
      <c r="AN57" s="40">
        <f t="shared" si="2"/>
        <v>70</v>
      </c>
      <c r="AO57" s="37">
        <f t="shared" si="3"/>
        <v>18.867924528301888</v>
      </c>
      <c r="AP57" s="38">
        <v>801</v>
      </c>
      <c r="AQ57" s="38">
        <v>355</v>
      </c>
      <c r="AR57" s="38">
        <v>446</v>
      </c>
      <c r="AS57" s="38">
        <v>320</v>
      </c>
      <c r="AT57" s="38">
        <v>141</v>
      </c>
      <c r="AU57" s="38">
        <v>179</v>
      </c>
      <c r="AV57" s="38">
        <v>117</v>
      </c>
      <c r="AW57" s="38">
        <v>48</v>
      </c>
      <c r="AX57" s="38">
        <v>69</v>
      </c>
      <c r="AY57" s="38">
        <v>680</v>
      </c>
      <c r="AZ57" s="38">
        <v>294</v>
      </c>
      <c r="BA57" s="38">
        <v>386</v>
      </c>
      <c r="BB57" s="38">
        <v>82</v>
      </c>
      <c r="BC57" s="37">
        <v>12.058823529411764</v>
      </c>
      <c r="BD57" s="40">
        <v>32</v>
      </c>
      <c r="BE57" s="37">
        <v>10.884353741496598</v>
      </c>
      <c r="BF57" s="40">
        <v>50</v>
      </c>
      <c r="BG57" s="37">
        <v>12.953367875647666</v>
      </c>
      <c r="BH57" s="38">
        <v>117</v>
      </c>
      <c r="BI57" s="38">
        <v>130</v>
      </c>
      <c r="BJ57" s="38">
        <v>55</v>
      </c>
      <c r="BK57" s="38">
        <v>75</v>
      </c>
      <c r="BL57" s="37">
        <v>90</v>
      </c>
      <c r="BM57" s="37">
        <v>87.272727272727266</v>
      </c>
      <c r="BN57" s="37">
        <v>92</v>
      </c>
      <c r="BO57" s="38">
        <v>272</v>
      </c>
      <c r="BP57" s="38">
        <v>128</v>
      </c>
      <c r="BQ57" s="38">
        <v>144</v>
      </c>
      <c r="BR57" s="37">
        <v>43.014705882352942</v>
      </c>
      <c r="BS57" s="37">
        <v>37.5</v>
      </c>
      <c r="BT57" s="37">
        <v>47.916666666666671</v>
      </c>
      <c r="BU57" s="2"/>
      <c r="BV57" s="2"/>
    </row>
    <row r="58" spans="1:74" ht="15.75" x14ac:dyDescent="0.3">
      <c r="A58" s="2" t="s">
        <v>54</v>
      </c>
      <c r="B58" s="2" t="s">
        <v>55</v>
      </c>
      <c r="C58" s="2" t="s">
        <v>105</v>
      </c>
      <c r="D58" s="2" t="s">
        <v>57</v>
      </c>
      <c r="E58" s="2" t="s">
        <v>95</v>
      </c>
      <c r="F58" s="2" t="s">
        <v>106</v>
      </c>
      <c r="G58" s="2" t="s">
        <v>60</v>
      </c>
      <c r="H58" s="2" t="s">
        <v>187</v>
      </c>
      <c r="I58" s="2" t="s">
        <v>188</v>
      </c>
      <c r="J58" s="2" t="s">
        <v>290</v>
      </c>
      <c r="K58" s="2" t="s">
        <v>159</v>
      </c>
      <c r="L58" s="2" t="s">
        <v>291</v>
      </c>
      <c r="M58" s="2">
        <v>0</v>
      </c>
      <c r="N58" s="2" t="s">
        <v>292</v>
      </c>
      <c r="O58" s="2" t="s">
        <v>293</v>
      </c>
      <c r="P58" s="2" t="s">
        <v>80</v>
      </c>
      <c r="Q58" s="2" t="s">
        <v>144</v>
      </c>
      <c r="R58" s="2" t="s">
        <v>145</v>
      </c>
      <c r="S58" s="2" t="s">
        <v>294</v>
      </c>
      <c r="T58" s="2" t="s">
        <v>295</v>
      </c>
      <c r="U58" s="2" t="s">
        <v>296</v>
      </c>
      <c r="V58" s="2" t="s">
        <v>295</v>
      </c>
      <c r="W58" s="2" t="s">
        <v>74</v>
      </c>
      <c r="X58" s="38">
        <v>359</v>
      </c>
      <c r="Y58" s="38">
        <v>148</v>
      </c>
      <c r="Z58" s="38">
        <v>211</v>
      </c>
      <c r="AA58" s="38">
        <v>336</v>
      </c>
      <c r="AB58" s="38">
        <v>135</v>
      </c>
      <c r="AC58" s="38">
        <v>201</v>
      </c>
      <c r="AD58" s="38">
        <v>9</v>
      </c>
      <c r="AE58" s="38">
        <v>6</v>
      </c>
      <c r="AF58" s="38">
        <v>3</v>
      </c>
      <c r="AG58" s="38">
        <v>0</v>
      </c>
      <c r="AH58" s="38">
        <v>0</v>
      </c>
      <c r="AI58" s="38">
        <v>0</v>
      </c>
      <c r="AJ58" s="38">
        <v>14</v>
      </c>
      <c r="AK58" s="37">
        <v>3.8997214484679668</v>
      </c>
      <c r="AL58" s="40">
        <f t="shared" si="0"/>
        <v>7</v>
      </c>
      <c r="AM58" s="37">
        <f t="shared" si="1"/>
        <v>4.7297297297297298</v>
      </c>
      <c r="AN58" s="40">
        <f t="shared" si="2"/>
        <v>7</v>
      </c>
      <c r="AO58" s="37">
        <f t="shared" si="3"/>
        <v>3.3175355450236967</v>
      </c>
      <c r="AP58" s="38">
        <v>399</v>
      </c>
      <c r="AQ58" s="38">
        <v>167</v>
      </c>
      <c r="AR58" s="38">
        <v>232</v>
      </c>
      <c r="AS58" s="38">
        <v>137</v>
      </c>
      <c r="AT58" s="38">
        <v>56</v>
      </c>
      <c r="AU58" s="38">
        <v>81</v>
      </c>
      <c r="AV58" s="38">
        <v>98</v>
      </c>
      <c r="AW58" s="38">
        <v>37</v>
      </c>
      <c r="AX58" s="38">
        <v>61</v>
      </c>
      <c r="AY58" s="38">
        <v>356</v>
      </c>
      <c r="AZ58" s="38">
        <v>152</v>
      </c>
      <c r="BA58" s="38">
        <v>204</v>
      </c>
      <c r="BB58" s="38">
        <v>-4</v>
      </c>
      <c r="BC58" s="37">
        <v>-1.1235955056179776</v>
      </c>
      <c r="BD58" s="40">
        <v>4</v>
      </c>
      <c r="BE58" s="37">
        <v>2.6315789473684208</v>
      </c>
      <c r="BF58" s="40">
        <v>-8</v>
      </c>
      <c r="BG58" s="37">
        <v>-3.9215686274509802</v>
      </c>
      <c r="BH58" s="38">
        <v>98</v>
      </c>
      <c r="BI58" s="38">
        <v>95</v>
      </c>
      <c r="BJ58" s="38">
        <v>35</v>
      </c>
      <c r="BK58" s="38">
        <v>60</v>
      </c>
      <c r="BL58" s="37">
        <v>103.15789473684211</v>
      </c>
      <c r="BM58" s="37">
        <v>105.71428571428572</v>
      </c>
      <c r="BN58" s="37">
        <v>101.66666666666666</v>
      </c>
      <c r="BO58" s="38">
        <v>126</v>
      </c>
      <c r="BP58" s="38">
        <v>61</v>
      </c>
      <c r="BQ58" s="38">
        <v>65</v>
      </c>
      <c r="BR58" s="37">
        <v>77.777777777777786</v>
      </c>
      <c r="BS58" s="37">
        <v>60.655737704918032</v>
      </c>
      <c r="BT58" s="37">
        <v>93.84615384615384</v>
      </c>
      <c r="BU58" s="2"/>
      <c r="BV58" s="2"/>
    </row>
    <row r="59" spans="1:74" ht="15.75" x14ac:dyDescent="0.3">
      <c r="A59" s="2" t="s">
        <v>54</v>
      </c>
      <c r="B59" s="2" t="s">
        <v>55</v>
      </c>
      <c r="C59" s="2" t="s">
        <v>105</v>
      </c>
      <c r="D59" s="2" t="s">
        <v>57</v>
      </c>
      <c r="E59" s="2" t="s">
        <v>95</v>
      </c>
      <c r="F59" s="2" t="s">
        <v>106</v>
      </c>
      <c r="G59" s="2" t="s">
        <v>60</v>
      </c>
      <c r="H59" s="2" t="s">
        <v>187</v>
      </c>
      <c r="I59" s="2" t="s">
        <v>188</v>
      </c>
      <c r="J59" s="2" t="s">
        <v>290</v>
      </c>
      <c r="K59" s="2" t="s">
        <v>159</v>
      </c>
      <c r="L59" s="2" t="s">
        <v>291</v>
      </c>
      <c r="M59" s="2">
        <v>0</v>
      </c>
      <c r="N59" s="2" t="s">
        <v>292</v>
      </c>
      <c r="O59" s="2" t="s">
        <v>293</v>
      </c>
      <c r="P59" s="2" t="s">
        <v>80</v>
      </c>
      <c r="Q59" s="2" t="s">
        <v>144</v>
      </c>
      <c r="R59" s="2" t="s">
        <v>145</v>
      </c>
      <c r="S59" s="2" t="s">
        <v>294</v>
      </c>
      <c r="T59" s="2" t="s">
        <v>295</v>
      </c>
      <c r="U59" s="2" t="s">
        <v>296</v>
      </c>
      <c r="V59" s="2" t="s">
        <v>295</v>
      </c>
      <c r="W59" s="2" t="s">
        <v>113</v>
      </c>
      <c r="X59" s="38">
        <v>161</v>
      </c>
      <c r="Y59" s="38">
        <v>72</v>
      </c>
      <c r="Z59" s="38">
        <v>89</v>
      </c>
      <c r="AA59" s="38">
        <v>134</v>
      </c>
      <c r="AB59" s="38">
        <v>55</v>
      </c>
      <c r="AC59" s="38">
        <v>79</v>
      </c>
      <c r="AD59" s="38">
        <v>4</v>
      </c>
      <c r="AE59" s="38">
        <v>2</v>
      </c>
      <c r="AF59" s="38">
        <v>2</v>
      </c>
      <c r="AG59" s="38">
        <v>0</v>
      </c>
      <c r="AH59" s="38">
        <v>0</v>
      </c>
      <c r="AI59" s="38">
        <v>0</v>
      </c>
      <c r="AJ59" s="38">
        <v>23</v>
      </c>
      <c r="AK59" s="37">
        <v>14.285714285714285</v>
      </c>
      <c r="AL59" s="40">
        <f t="shared" si="0"/>
        <v>15</v>
      </c>
      <c r="AM59" s="37">
        <f t="shared" si="1"/>
        <v>20.833333333333336</v>
      </c>
      <c r="AN59" s="40">
        <f t="shared" si="2"/>
        <v>8</v>
      </c>
      <c r="AO59" s="37">
        <f t="shared" si="3"/>
        <v>8.9887640449438209</v>
      </c>
      <c r="AP59" s="38">
        <v>194</v>
      </c>
      <c r="AQ59" s="38">
        <v>85</v>
      </c>
      <c r="AR59" s="38">
        <v>109</v>
      </c>
      <c r="AS59" s="38">
        <v>86</v>
      </c>
      <c r="AT59" s="38">
        <v>39</v>
      </c>
      <c r="AU59" s="38">
        <v>47</v>
      </c>
      <c r="AV59" s="38">
        <v>43</v>
      </c>
      <c r="AW59" s="38">
        <v>19</v>
      </c>
      <c r="AX59" s="38">
        <v>24</v>
      </c>
      <c r="AY59" s="38">
        <v>176</v>
      </c>
      <c r="AZ59" s="38">
        <v>80</v>
      </c>
      <c r="BA59" s="38">
        <v>96</v>
      </c>
      <c r="BB59" s="38">
        <v>25</v>
      </c>
      <c r="BC59" s="37">
        <v>14.204545454545455</v>
      </c>
      <c r="BD59" s="40">
        <v>15</v>
      </c>
      <c r="BE59" s="37">
        <v>18.75</v>
      </c>
      <c r="BF59" s="40">
        <v>10</v>
      </c>
      <c r="BG59" s="37">
        <v>10.416666666666668</v>
      </c>
      <c r="BH59" s="38">
        <v>43</v>
      </c>
      <c r="BI59" s="38">
        <v>42</v>
      </c>
      <c r="BJ59" s="38">
        <v>19</v>
      </c>
      <c r="BK59" s="38">
        <v>23</v>
      </c>
      <c r="BL59" s="37">
        <v>102.38095238095238</v>
      </c>
      <c r="BM59" s="37">
        <v>100</v>
      </c>
      <c r="BN59" s="37">
        <v>104.34782608695652</v>
      </c>
      <c r="BO59" s="38">
        <v>69</v>
      </c>
      <c r="BP59" s="38">
        <v>33</v>
      </c>
      <c r="BQ59" s="38">
        <v>36</v>
      </c>
      <c r="BR59" s="37">
        <v>62.318840579710141</v>
      </c>
      <c r="BS59" s="37">
        <v>57.575757575757578</v>
      </c>
      <c r="BT59" s="37">
        <v>66.666666666666657</v>
      </c>
      <c r="BU59" s="2"/>
      <c r="BV59" s="2"/>
    </row>
    <row r="60" spans="1:74" ht="15.75" x14ac:dyDescent="0.3">
      <c r="A60" s="2" t="s">
        <v>54</v>
      </c>
      <c r="B60" s="2" t="s">
        <v>55</v>
      </c>
      <c r="C60" s="2" t="s">
        <v>105</v>
      </c>
      <c r="D60" s="2" t="s">
        <v>57</v>
      </c>
      <c r="E60" s="2" t="s">
        <v>95</v>
      </c>
      <c r="F60" s="2" t="s">
        <v>106</v>
      </c>
      <c r="G60" s="2" t="s">
        <v>186</v>
      </c>
      <c r="H60" s="2" t="s">
        <v>187</v>
      </c>
      <c r="I60" s="2" t="s">
        <v>217</v>
      </c>
      <c r="J60" s="2" t="s">
        <v>297</v>
      </c>
      <c r="K60" s="2" t="s">
        <v>76</v>
      </c>
      <c r="L60" s="2" t="s">
        <v>298</v>
      </c>
      <c r="M60" s="2">
        <v>0</v>
      </c>
      <c r="N60" s="2" t="s">
        <v>299</v>
      </c>
      <c r="O60" s="2" t="s">
        <v>300</v>
      </c>
      <c r="P60" s="2" t="s">
        <v>80</v>
      </c>
      <c r="Q60" s="2" t="s">
        <v>135</v>
      </c>
      <c r="R60" s="2" t="s">
        <v>136</v>
      </c>
      <c r="S60" s="2" t="s">
        <v>301</v>
      </c>
      <c r="T60" s="2" t="s">
        <v>302</v>
      </c>
      <c r="U60" s="2" t="s">
        <v>303</v>
      </c>
      <c r="V60" s="2" t="s">
        <v>302</v>
      </c>
      <c r="W60" s="2" t="s">
        <v>74</v>
      </c>
      <c r="X60" s="38">
        <v>182</v>
      </c>
      <c r="Y60" s="38">
        <v>67</v>
      </c>
      <c r="Z60" s="38">
        <v>115</v>
      </c>
      <c r="AA60" s="38">
        <v>173</v>
      </c>
      <c r="AB60" s="38">
        <v>65</v>
      </c>
      <c r="AC60" s="38">
        <v>108</v>
      </c>
      <c r="AD60" s="38">
        <v>1</v>
      </c>
      <c r="AE60" s="38">
        <v>0</v>
      </c>
      <c r="AF60" s="38">
        <v>1</v>
      </c>
      <c r="AG60" s="38">
        <v>0</v>
      </c>
      <c r="AH60" s="38">
        <v>0</v>
      </c>
      <c r="AI60" s="38">
        <v>0</v>
      </c>
      <c r="AJ60" s="38">
        <v>8</v>
      </c>
      <c r="AK60" s="37">
        <v>4.395604395604396</v>
      </c>
      <c r="AL60" s="40">
        <f t="shared" si="0"/>
        <v>2</v>
      </c>
      <c r="AM60" s="37">
        <f t="shared" si="1"/>
        <v>2.9850746268656714</v>
      </c>
      <c r="AN60" s="40">
        <f t="shared" si="2"/>
        <v>6</v>
      </c>
      <c r="AO60" s="37">
        <f t="shared" si="3"/>
        <v>5.2173913043478262</v>
      </c>
      <c r="AP60" s="38">
        <v>219</v>
      </c>
      <c r="AQ60" s="38">
        <v>90</v>
      </c>
      <c r="AR60" s="38">
        <v>129</v>
      </c>
      <c r="AS60" s="38">
        <v>83</v>
      </c>
      <c r="AT60" s="38">
        <v>42</v>
      </c>
      <c r="AU60" s="38">
        <v>41</v>
      </c>
      <c r="AV60" s="38">
        <v>40</v>
      </c>
      <c r="AW60" s="38">
        <v>16</v>
      </c>
      <c r="AX60" s="38">
        <v>24</v>
      </c>
      <c r="AY60" s="38">
        <v>188</v>
      </c>
      <c r="AZ60" s="38">
        <v>71</v>
      </c>
      <c r="BA60" s="38">
        <v>117</v>
      </c>
      <c r="BB60" s="38">
        <v>12</v>
      </c>
      <c r="BC60" s="37">
        <v>6.3829787234042552</v>
      </c>
      <c r="BD60" s="40">
        <v>7</v>
      </c>
      <c r="BE60" s="37">
        <v>9.8591549295774641</v>
      </c>
      <c r="BF60" s="40">
        <v>5</v>
      </c>
      <c r="BG60" s="37">
        <v>4.2735042735042734</v>
      </c>
      <c r="BH60" s="38">
        <v>40</v>
      </c>
      <c r="BI60" s="38">
        <v>38</v>
      </c>
      <c r="BJ60" s="38">
        <v>15</v>
      </c>
      <c r="BK60" s="38">
        <v>23</v>
      </c>
      <c r="BL60" s="37">
        <v>105.26315789473684</v>
      </c>
      <c r="BM60" s="37">
        <v>106.66666666666667</v>
      </c>
      <c r="BN60" s="37">
        <v>104.34782608695652</v>
      </c>
      <c r="BO60" s="38">
        <v>56</v>
      </c>
      <c r="BP60" s="38">
        <v>28</v>
      </c>
      <c r="BQ60" s="38">
        <v>28</v>
      </c>
      <c r="BR60" s="37">
        <v>71.428571428571431</v>
      </c>
      <c r="BS60" s="37">
        <v>57.142857142857139</v>
      </c>
      <c r="BT60" s="37">
        <v>85.714285714285708</v>
      </c>
      <c r="BU60" s="2"/>
      <c r="BV60" s="2"/>
    </row>
    <row r="61" spans="1:74" ht="15.75" x14ac:dyDescent="0.3">
      <c r="A61" s="2" t="s">
        <v>54</v>
      </c>
      <c r="B61" s="2" t="s">
        <v>55</v>
      </c>
      <c r="C61" s="2" t="s">
        <v>105</v>
      </c>
      <c r="D61" s="2" t="s">
        <v>57</v>
      </c>
      <c r="E61" s="2" t="s">
        <v>95</v>
      </c>
      <c r="F61" s="2" t="s">
        <v>106</v>
      </c>
      <c r="G61" s="2" t="s">
        <v>60</v>
      </c>
      <c r="H61" s="2" t="s">
        <v>61</v>
      </c>
      <c r="I61" s="2" t="s">
        <v>304</v>
      </c>
      <c r="J61" s="2" t="s">
        <v>305</v>
      </c>
      <c r="K61" s="2" t="s">
        <v>76</v>
      </c>
      <c r="L61" s="2" t="s">
        <v>306</v>
      </c>
      <c r="M61" s="2">
        <v>0</v>
      </c>
      <c r="N61" s="2" t="s">
        <v>307</v>
      </c>
      <c r="O61" s="2" t="s">
        <v>308</v>
      </c>
      <c r="P61" s="2" t="s">
        <v>80</v>
      </c>
      <c r="Q61" s="2" t="s">
        <v>135</v>
      </c>
      <c r="R61" s="2" t="s">
        <v>136</v>
      </c>
      <c r="S61" s="2" t="s">
        <v>309</v>
      </c>
      <c r="T61" s="2" t="s">
        <v>310</v>
      </c>
      <c r="U61" s="2" t="s">
        <v>311</v>
      </c>
      <c r="V61" s="2" t="s">
        <v>310</v>
      </c>
      <c r="W61" s="2" t="s">
        <v>74</v>
      </c>
      <c r="X61" s="38">
        <v>199</v>
      </c>
      <c r="Y61" s="38">
        <v>85</v>
      </c>
      <c r="Z61" s="38">
        <v>114</v>
      </c>
      <c r="AA61" s="38">
        <v>191</v>
      </c>
      <c r="AB61" s="38">
        <v>79</v>
      </c>
      <c r="AC61" s="38">
        <v>112</v>
      </c>
      <c r="AD61" s="38">
        <v>0</v>
      </c>
      <c r="AE61" s="38">
        <v>0</v>
      </c>
      <c r="AF61" s="38">
        <v>0</v>
      </c>
      <c r="AG61" s="38">
        <v>0</v>
      </c>
      <c r="AH61" s="38">
        <v>0</v>
      </c>
      <c r="AI61" s="38">
        <v>0</v>
      </c>
      <c r="AJ61" s="38">
        <v>8</v>
      </c>
      <c r="AK61" s="37">
        <v>4.0201005025125625</v>
      </c>
      <c r="AL61" s="40">
        <f t="shared" si="0"/>
        <v>6</v>
      </c>
      <c r="AM61" s="37">
        <f t="shared" si="1"/>
        <v>7.0588235294117645</v>
      </c>
      <c r="AN61" s="40">
        <f t="shared" si="2"/>
        <v>2</v>
      </c>
      <c r="AO61" s="37">
        <f t="shared" si="3"/>
        <v>1.7543859649122806</v>
      </c>
      <c r="AP61" s="38">
        <v>235</v>
      </c>
      <c r="AQ61" s="38">
        <v>110</v>
      </c>
      <c r="AR61" s="38">
        <v>125</v>
      </c>
      <c r="AS61" s="38">
        <v>92</v>
      </c>
      <c r="AT61" s="38">
        <v>46</v>
      </c>
      <c r="AU61" s="38">
        <v>46</v>
      </c>
      <c r="AV61" s="38">
        <v>50</v>
      </c>
      <c r="AW61" s="38">
        <v>18</v>
      </c>
      <c r="AX61" s="38">
        <v>32</v>
      </c>
      <c r="AY61" s="38">
        <v>203</v>
      </c>
      <c r="AZ61" s="38">
        <v>90</v>
      </c>
      <c r="BA61" s="38">
        <v>113</v>
      </c>
      <c r="BB61" s="38">
        <v>10</v>
      </c>
      <c r="BC61" s="37">
        <v>4.9261083743842367</v>
      </c>
      <c r="BD61" s="40">
        <v>8</v>
      </c>
      <c r="BE61" s="37">
        <v>8.8888888888888893</v>
      </c>
      <c r="BF61" s="40">
        <v>2</v>
      </c>
      <c r="BG61" s="37">
        <v>1.7699115044247788</v>
      </c>
      <c r="BH61" s="38">
        <v>50</v>
      </c>
      <c r="BI61" s="38">
        <v>49</v>
      </c>
      <c r="BJ61" s="38">
        <v>18</v>
      </c>
      <c r="BK61" s="38">
        <v>31</v>
      </c>
      <c r="BL61" s="37">
        <v>102.04081632653062</v>
      </c>
      <c r="BM61" s="37">
        <v>100</v>
      </c>
      <c r="BN61" s="37">
        <v>103.2258064516129</v>
      </c>
      <c r="BO61" s="38">
        <v>55</v>
      </c>
      <c r="BP61" s="38">
        <v>26</v>
      </c>
      <c r="BQ61" s="38">
        <v>29</v>
      </c>
      <c r="BR61" s="37">
        <v>90.909090909090907</v>
      </c>
      <c r="BS61" s="37">
        <v>69.230769230769226</v>
      </c>
      <c r="BT61" s="37">
        <v>110.34482758620689</v>
      </c>
      <c r="BU61" s="2"/>
      <c r="BV61" s="2"/>
    </row>
    <row r="62" spans="1:74" ht="15.75" x14ac:dyDescent="0.3">
      <c r="A62" s="2" t="s">
        <v>54</v>
      </c>
      <c r="B62" s="2" t="s">
        <v>55</v>
      </c>
      <c r="C62" s="2" t="s">
        <v>105</v>
      </c>
      <c r="D62" s="2" t="s">
        <v>57</v>
      </c>
      <c r="E62" s="2" t="s">
        <v>95</v>
      </c>
      <c r="F62" s="2" t="s">
        <v>106</v>
      </c>
      <c r="G62" s="2" t="s">
        <v>186</v>
      </c>
      <c r="H62" s="2" t="s">
        <v>260</v>
      </c>
      <c r="I62" s="2" t="s">
        <v>114</v>
      </c>
      <c r="J62" s="2" t="s">
        <v>312</v>
      </c>
      <c r="K62" s="2" t="s">
        <v>76</v>
      </c>
      <c r="L62" s="2" t="s">
        <v>313</v>
      </c>
      <c r="M62" s="2">
        <v>0</v>
      </c>
      <c r="N62" s="2" t="s">
        <v>314</v>
      </c>
      <c r="O62" s="2" t="s">
        <v>315</v>
      </c>
      <c r="P62" s="2" t="s">
        <v>80</v>
      </c>
      <c r="Q62" s="2" t="s">
        <v>90</v>
      </c>
      <c r="R62" s="2" t="s">
        <v>91</v>
      </c>
      <c r="S62" s="2" t="s">
        <v>316</v>
      </c>
      <c r="T62" s="2" t="s">
        <v>317</v>
      </c>
      <c r="U62" s="2" t="s">
        <v>318</v>
      </c>
      <c r="V62" s="2" t="s">
        <v>317</v>
      </c>
      <c r="W62" s="2" t="s">
        <v>74</v>
      </c>
      <c r="X62" s="38">
        <v>306</v>
      </c>
      <c r="Y62" s="38">
        <v>124</v>
      </c>
      <c r="Z62" s="38">
        <v>182</v>
      </c>
      <c r="AA62" s="38">
        <v>275</v>
      </c>
      <c r="AB62" s="38">
        <v>103</v>
      </c>
      <c r="AC62" s="38">
        <v>172</v>
      </c>
      <c r="AD62" s="38">
        <v>12</v>
      </c>
      <c r="AE62" s="38">
        <v>7</v>
      </c>
      <c r="AF62" s="38">
        <v>5</v>
      </c>
      <c r="AG62" s="38">
        <v>0</v>
      </c>
      <c r="AH62" s="38">
        <v>0</v>
      </c>
      <c r="AI62" s="38">
        <v>0</v>
      </c>
      <c r="AJ62" s="38">
        <v>19</v>
      </c>
      <c r="AK62" s="37">
        <v>6.2091503267973858</v>
      </c>
      <c r="AL62" s="40">
        <f t="shared" si="0"/>
        <v>14</v>
      </c>
      <c r="AM62" s="37">
        <f t="shared" si="1"/>
        <v>11.29032258064516</v>
      </c>
      <c r="AN62" s="40">
        <f t="shared" si="2"/>
        <v>5</v>
      </c>
      <c r="AO62" s="37">
        <f t="shared" si="3"/>
        <v>2.7472527472527473</v>
      </c>
      <c r="AP62" s="38">
        <v>324</v>
      </c>
      <c r="AQ62" s="38">
        <v>143</v>
      </c>
      <c r="AR62" s="38">
        <v>181</v>
      </c>
      <c r="AS62" s="38">
        <v>124</v>
      </c>
      <c r="AT62" s="38">
        <v>54</v>
      </c>
      <c r="AU62" s="38">
        <v>70</v>
      </c>
      <c r="AV62" s="38">
        <v>89</v>
      </c>
      <c r="AW62" s="38">
        <v>25</v>
      </c>
      <c r="AX62" s="38">
        <v>64</v>
      </c>
      <c r="AY62" s="38">
        <v>315</v>
      </c>
      <c r="AZ62" s="38">
        <v>125</v>
      </c>
      <c r="BA62" s="38">
        <v>190</v>
      </c>
      <c r="BB62" s="38">
        <v>26</v>
      </c>
      <c r="BC62" s="37">
        <v>8.2539682539682531</v>
      </c>
      <c r="BD62" s="40">
        <v>11</v>
      </c>
      <c r="BE62" s="37">
        <v>8.7999999999999989</v>
      </c>
      <c r="BF62" s="40">
        <v>15</v>
      </c>
      <c r="BG62" s="37">
        <v>7.8947368421052628</v>
      </c>
      <c r="BH62" s="38">
        <v>89</v>
      </c>
      <c r="BI62" s="38">
        <v>93</v>
      </c>
      <c r="BJ62" s="38">
        <v>28</v>
      </c>
      <c r="BK62" s="38">
        <v>65</v>
      </c>
      <c r="BL62" s="37">
        <v>95.6989247311828</v>
      </c>
      <c r="BM62" s="37">
        <v>89.285714285714292</v>
      </c>
      <c r="BN62" s="37">
        <v>98.461538461538467</v>
      </c>
      <c r="BO62" s="38">
        <v>127</v>
      </c>
      <c r="BP62" s="38">
        <v>52</v>
      </c>
      <c r="BQ62" s="38">
        <v>75</v>
      </c>
      <c r="BR62" s="37">
        <v>70.078740157480311</v>
      </c>
      <c r="BS62" s="37">
        <v>48.07692307692308</v>
      </c>
      <c r="BT62" s="37">
        <v>85.333333333333343</v>
      </c>
      <c r="BU62" s="2"/>
      <c r="BV62" s="2"/>
    </row>
    <row r="63" spans="1:74" ht="15.75" x14ac:dyDescent="0.3">
      <c r="A63" s="2" t="s">
        <v>54</v>
      </c>
      <c r="B63" s="2" t="s">
        <v>55</v>
      </c>
      <c r="C63" s="2" t="s">
        <v>105</v>
      </c>
      <c r="D63" s="2" t="s">
        <v>57</v>
      </c>
      <c r="E63" s="2" t="s">
        <v>95</v>
      </c>
      <c r="F63" s="2" t="s">
        <v>106</v>
      </c>
      <c r="G63" s="2" t="s">
        <v>60</v>
      </c>
      <c r="H63" s="2" t="s">
        <v>61</v>
      </c>
      <c r="I63" s="2" t="s">
        <v>188</v>
      </c>
      <c r="J63" s="2" t="s">
        <v>319</v>
      </c>
      <c r="K63" s="2" t="s">
        <v>76</v>
      </c>
      <c r="L63" s="2" t="s">
        <v>320</v>
      </c>
      <c r="M63" s="2">
        <v>0</v>
      </c>
      <c r="N63" s="2" t="s">
        <v>321</v>
      </c>
      <c r="O63" s="2" t="s">
        <v>322</v>
      </c>
      <c r="P63" s="2" t="s">
        <v>323</v>
      </c>
      <c r="Q63" s="2" t="s">
        <v>144</v>
      </c>
      <c r="R63" s="2" t="s">
        <v>145</v>
      </c>
      <c r="S63" s="2" t="s">
        <v>324</v>
      </c>
      <c r="T63" s="2" t="s">
        <v>325</v>
      </c>
      <c r="U63" s="2" t="s">
        <v>326</v>
      </c>
      <c r="V63" s="2" t="s">
        <v>325</v>
      </c>
      <c r="W63" s="2" t="s">
        <v>74</v>
      </c>
      <c r="X63" s="38">
        <v>213</v>
      </c>
      <c r="Y63" s="38">
        <v>100</v>
      </c>
      <c r="Z63" s="38">
        <v>113</v>
      </c>
      <c r="AA63" s="38">
        <v>198</v>
      </c>
      <c r="AB63" s="38">
        <v>93</v>
      </c>
      <c r="AC63" s="38">
        <v>105</v>
      </c>
      <c r="AD63" s="38">
        <v>5</v>
      </c>
      <c r="AE63" s="38">
        <v>3</v>
      </c>
      <c r="AF63" s="38">
        <v>2</v>
      </c>
      <c r="AG63" s="38">
        <v>0</v>
      </c>
      <c r="AH63" s="38">
        <v>0</v>
      </c>
      <c r="AI63" s="38">
        <v>0</v>
      </c>
      <c r="AJ63" s="38">
        <v>10</v>
      </c>
      <c r="AK63" s="37">
        <v>4.6948356807511731</v>
      </c>
      <c r="AL63" s="40">
        <f t="shared" si="0"/>
        <v>4</v>
      </c>
      <c r="AM63" s="37">
        <f t="shared" si="1"/>
        <v>4</v>
      </c>
      <c r="AN63" s="40">
        <f t="shared" si="2"/>
        <v>6</v>
      </c>
      <c r="AO63" s="37">
        <f t="shared" si="3"/>
        <v>5.3097345132743365</v>
      </c>
      <c r="AP63" s="38">
        <v>236</v>
      </c>
      <c r="AQ63" s="38">
        <v>116</v>
      </c>
      <c r="AR63" s="38">
        <v>120</v>
      </c>
      <c r="AS63" s="38">
        <v>89</v>
      </c>
      <c r="AT63" s="38">
        <v>49</v>
      </c>
      <c r="AU63" s="38">
        <v>40</v>
      </c>
      <c r="AV63" s="38">
        <v>59</v>
      </c>
      <c r="AW63" s="38">
        <v>29</v>
      </c>
      <c r="AX63" s="38">
        <v>30</v>
      </c>
      <c r="AY63" s="38">
        <v>217</v>
      </c>
      <c r="AZ63" s="38">
        <v>103</v>
      </c>
      <c r="BA63" s="38">
        <v>114</v>
      </c>
      <c r="BB63" s="38">
        <v>11</v>
      </c>
      <c r="BC63" s="37">
        <v>5.0691244239631335</v>
      </c>
      <c r="BD63" s="40">
        <v>7</v>
      </c>
      <c r="BE63" s="37">
        <v>6.7961165048543686</v>
      </c>
      <c r="BF63" s="40">
        <v>4</v>
      </c>
      <c r="BG63" s="37">
        <v>3.5087719298245612</v>
      </c>
      <c r="BH63" s="38">
        <v>59</v>
      </c>
      <c r="BI63" s="38">
        <v>60</v>
      </c>
      <c r="BJ63" s="38">
        <v>30</v>
      </c>
      <c r="BK63" s="38">
        <v>30</v>
      </c>
      <c r="BL63" s="37">
        <v>98.333333333333329</v>
      </c>
      <c r="BM63" s="37">
        <v>96.666666666666671</v>
      </c>
      <c r="BN63" s="37">
        <v>100</v>
      </c>
      <c r="BO63" s="38">
        <v>115</v>
      </c>
      <c r="BP63" s="38">
        <v>60</v>
      </c>
      <c r="BQ63" s="38">
        <v>55</v>
      </c>
      <c r="BR63" s="37">
        <v>51.304347826086961</v>
      </c>
      <c r="BS63" s="37">
        <v>48.333333333333336</v>
      </c>
      <c r="BT63" s="37">
        <v>54.54545454545454</v>
      </c>
      <c r="BU63" s="2"/>
      <c r="BV63" s="2"/>
    </row>
    <row r="64" spans="1:74" ht="15.75" x14ac:dyDescent="0.3">
      <c r="A64" s="2" t="s">
        <v>54</v>
      </c>
      <c r="B64" s="2" t="s">
        <v>55</v>
      </c>
      <c r="C64" s="2" t="s">
        <v>105</v>
      </c>
      <c r="D64" s="2" t="s">
        <v>57</v>
      </c>
      <c r="E64" s="2" t="s">
        <v>95</v>
      </c>
      <c r="F64" s="2" t="s">
        <v>106</v>
      </c>
      <c r="G64" s="2" t="s">
        <v>60</v>
      </c>
      <c r="H64" s="2" t="s">
        <v>61</v>
      </c>
      <c r="I64" s="2" t="s">
        <v>178</v>
      </c>
      <c r="J64" s="2" t="s">
        <v>327</v>
      </c>
      <c r="K64" s="2" t="s">
        <v>76</v>
      </c>
      <c r="L64" s="2" t="s">
        <v>328</v>
      </c>
      <c r="M64" s="2">
        <v>0</v>
      </c>
      <c r="N64" s="2" t="s">
        <v>329</v>
      </c>
      <c r="O64" s="2" t="s">
        <v>322</v>
      </c>
      <c r="P64" s="2" t="s">
        <v>330</v>
      </c>
      <c r="Q64" s="2" t="s">
        <v>90</v>
      </c>
      <c r="R64" s="2" t="s">
        <v>91</v>
      </c>
      <c r="S64" s="2" t="s">
        <v>331</v>
      </c>
      <c r="T64" s="2" t="s">
        <v>332</v>
      </c>
      <c r="U64" s="2" t="s">
        <v>333</v>
      </c>
      <c r="V64" s="2" t="s">
        <v>332</v>
      </c>
      <c r="W64" s="2" t="s">
        <v>74</v>
      </c>
      <c r="X64" s="38">
        <v>209</v>
      </c>
      <c r="Y64" s="38">
        <v>110</v>
      </c>
      <c r="Z64" s="38">
        <v>99</v>
      </c>
      <c r="AA64" s="38">
        <v>186</v>
      </c>
      <c r="AB64" s="38">
        <v>91</v>
      </c>
      <c r="AC64" s="38">
        <v>95</v>
      </c>
      <c r="AD64" s="38">
        <v>3</v>
      </c>
      <c r="AE64" s="38">
        <v>3</v>
      </c>
      <c r="AF64" s="38">
        <v>0</v>
      </c>
      <c r="AG64" s="38">
        <v>0</v>
      </c>
      <c r="AH64" s="38">
        <v>0</v>
      </c>
      <c r="AI64" s="38">
        <v>0</v>
      </c>
      <c r="AJ64" s="38">
        <v>20</v>
      </c>
      <c r="AK64" s="37">
        <v>9.5693779904306222</v>
      </c>
      <c r="AL64" s="40">
        <f t="shared" si="0"/>
        <v>16</v>
      </c>
      <c r="AM64" s="37">
        <f t="shared" si="1"/>
        <v>14.545454545454545</v>
      </c>
      <c r="AN64" s="40">
        <f t="shared" si="2"/>
        <v>4</v>
      </c>
      <c r="AO64" s="37">
        <f t="shared" si="3"/>
        <v>4.0404040404040407</v>
      </c>
      <c r="AP64" s="38">
        <v>220</v>
      </c>
      <c r="AQ64" s="38">
        <v>118</v>
      </c>
      <c r="AR64" s="38">
        <v>102</v>
      </c>
      <c r="AS64" s="38">
        <v>69</v>
      </c>
      <c r="AT64" s="38">
        <v>42</v>
      </c>
      <c r="AU64" s="38">
        <v>27</v>
      </c>
      <c r="AV64" s="38">
        <v>47</v>
      </c>
      <c r="AW64" s="38">
        <v>25</v>
      </c>
      <c r="AX64" s="38">
        <v>22</v>
      </c>
      <c r="AY64" s="38">
        <v>230</v>
      </c>
      <c r="AZ64" s="38">
        <v>122</v>
      </c>
      <c r="BA64" s="38">
        <v>108</v>
      </c>
      <c r="BB64" s="38">
        <v>32</v>
      </c>
      <c r="BC64" s="37">
        <v>13.913043478260869</v>
      </c>
      <c r="BD64" s="40">
        <v>21</v>
      </c>
      <c r="BE64" s="37">
        <v>17.21311475409836</v>
      </c>
      <c r="BF64" s="40">
        <v>11</v>
      </c>
      <c r="BG64" s="37">
        <v>10.185185185185185</v>
      </c>
      <c r="BH64" s="38">
        <v>47</v>
      </c>
      <c r="BI64" s="38">
        <v>48</v>
      </c>
      <c r="BJ64" s="38">
        <v>26</v>
      </c>
      <c r="BK64" s="38">
        <v>22</v>
      </c>
      <c r="BL64" s="37">
        <v>97.916666666666657</v>
      </c>
      <c r="BM64" s="37">
        <v>96.15384615384616</v>
      </c>
      <c r="BN64" s="37">
        <v>100</v>
      </c>
      <c r="BO64" s="38">
        <v>61</v>
      </c>
      <c r="BP64" s="38">
        <v>30</v>
      </c>
      <c r="BQ64" s="38">
        <v>31</v>
      </c>
      <c r="BR64" s="37">
        <v>77.049180327868854</v>
      </c>
      <c r="BS64" s="37">
        <v>83.333333333333343</v>
      </c>
      <c r="BT64" s="37">
        <v>70.967741935483872</v>
      </c>
      <c r="BU64" s="2"/>
      <c r="BV64" s="2"/>
    </row>
    <row r="65" spans="1:74" ht="15.75" x14ac:dyDescent="0.3">
      <c r="A65" s="2" t="s">
        <v>54</v>
      </c>
      <c r="B65" s="2" t="s">
        <v>55</v>
      </c>
      <c r="C65" s="2" t="s">
        <v>105</v>
      </c>
      <c r="D65" s="2" t="s">
        <v>57</v>
      </c>
      <c r="E65" s="2" t="s">
        <v>95</v>
      </c>
      <c r="F65" s="2" t="s">
        <v>106</v>
      </c>
      <c r="G65" s="2" t="s">
        <v>60</v>
      </c>
      <c r="H65" s="2" t="s">
        <v>187</v>
      </c>
      <c r="I65" s="2" t="s">
        <v>157</v>
      </c>
      <c r="J65" s="2" t="s">
        <v>334</v>
      </c>
      <c r="K65" s="2" t="s">
        <v>76</v>
      </c>
      <c r="L65" s="2" t="s">
        <v>320</v>
      </c>
      <c r="M65" s="2">
        <v>0</v>
      </c>
      <c r="N65" s="2" t="s">
        <v>335</v>
      </c>
      <c r="O65" s="2" t="s">
        <v>80</v>
      </c>
      <c r="P65" s="2" t="s">
        <v>80</v>
      </c>
      <c r="Q65" s="2" t="s">
        <v>69</v>
      </c>
      <c r="R65" s="2" t="s">
        <v>70</v>
      </c>
      <c r="S65" s="2" t="s">
        <v>336</v>
      </c>
      <c r="T65" s="2" t="s">
        <v>337</v>
      </c>
      <c r="U65" s="2" t="s">
        <v>338</v>
      </c>
      <c r="V65" s="2" t="s">
        <v>337</v>
      </c>
      <c r="W65" s="2" t="s">
        <v>74</v>
      </c>
      <c r="X65" s="38">
        <v>416</v>
      </c>
      <c r="Y65" s="38">
        <v>183</v>
      </c>
      <c r="Z65" s="38">
        <v>233</v>
      </c>
      <c r="AA65" s="38">
        <v>355</v>
      </c>
      <c r="AB65" s="38">
        <v>142</v>
      </c>
      <c r="AC65" s="38">
        <v>213</v>
      </c>
      <c r="AD65" s="38">
        <v>12</v>
      </c>
      <c r="AE65" s="38">
        <v>8</v>
      </c>
      <c r="AF65" s="38">
        <v>4</v>
      </c>
      <c r="AG65" s="38">
        <v>0</v>
      </c>
      <c r="AH65" s="38">
        <v>0</v>
      </c>
      <c r="AI65" s="38">
        <v>0</v>
      </c>
      <c r="AJ65" s="38">
        <v>49</v>
      </c>
      <c r="AK65" s="37">
        <v>11.778846153846153</v>
      </c>
      <c r="AL65" s="40">
        <f t="shared" si="0"/>
        <v>33</v>
      </c>
      <c r="AM65" s="37">
        <f t="shared" si="1"/>
        <v>18.032786885245901</v>
      </c>
      <c r="AN65" s="40">
        <f t="shared" si="2"/>
        <v>16</v>
      </c>
      <c r="AO65" s="37">
        <f t="shared" si="3"/>
        <v>6.866952789699571</v>
      </c>
      <c r="AP65" s="38">
        <v>466</v>
      </c>
      <c r="AQ65" s="38">
        <v>209</v>
      </c>
      <c r="AR65" s="38">
        <v>257</v>
      </c>
      <c r="AS65" s="38">
        <v>187</v>
      </c>
      <c r="AT65" s="38">
        <v>80</v>
      </c>
      <c r="AU65" s="38">
        <v>107</v>
      </c>
      <c r="AV65" s="38">
        <v>130</v>
      </c>
      <c r="AW65" s="38">
        <v>49</v>
      </c>
      <c r="AX65" s="38">
        <v>81</v>
      </c>
      <c r="AY65" s="38">
        <v>391</v>
      </c>
      <c r="AZ65" s="38">
        <v>176</v>
      </c>
      <c r="BA65" s="38">
        <v>215</v>
      </c>
      <c r="BB65" s="38">
        <v>-18</v>
      </c>
      <c r="BC65" s="37">
        <v>-4.6035805626598467</v>
      </c>
      <c r="BD65" s="40">
        <v>-2</v>
      </c>
      <c r="BE65" s="37">
        <v>-1.1363636363636365</v>
      </c>
      <c r="BF65" s="40">
        <v>-16</v>
      </c>
      <c r="BG65" s="37">
        <v>-7.441860465116279</v>
      </c>
      <c r="BH65" s="38">
        <v>130</v>
      </c>
      <c r="BI65" s="38">
        <v>102</v>
      </c>
      <c r="BJ65" s="38">
        <v>37</v>
      </c>
      <c r="BK65" s="38">
        <v>65</v>
      </c>
      <c r="BL65" s="37">
        <v>127.45098039215685</v>
      </c>
      <c r="BM65" s="37">
        <v>132.43243243243242</v>
      </c>
      <c r="BN65" s="37">
        <v>124.61538461538461</v>
      </c>
      <c r="BO65" s="38">
        <v>106</v>
      </c>
      <c r="BP65" s="38">
        <v>36</v>
      </c>
      <c r="BQ65" s="38">
        <v>70</v>
      </c>
      <c r="BR65" s="37">
        <v>122.64150943396226</v>
      </c>
      <c r="BS65" s="37">
        <v>136.11111111111111</v>
      </c>
      <c r="BT65" s="37">
        <v>115.71428571428572</v>
      </c>
      <c r="BU65" s="2"/>
      <c r="BV65" s="2"/>
    </row>
    <row r="66" spans="1:74" ht="15.75" x14ac:dyDescent="0.3">
      <c r="A66" s="2" t="s">
        <v>54</v>
      </c>
      <c r="B66" s="2" t="s">
        <v>55</v>
      </c>
      <c r="C66" s="2" t="s">
        <v>105</v>
      </c>
      <c r="D66" s="2" t="s">
        <v>57</v>
      </c>
      <c r="E66" s="2" t="s">
        <v>95</v>
      </c>
      <c r="F66" s="2" t="s">
        <v>106</v>
      </c>
      <c r="G66" s="2" t="s">
        <v>60</v>
      </c>
      <c r="H66" s="2" t="s">
        <v>187</v>
      </c>
      <c r="I66" s="2" t="s">
        <v>157</v>
      </c>
      <c r="J66" s="2" t="s">
        <v>334</v>
      </c>
      <c r="K66" s="2" t="s">
        <v>76</v>
      </c>
      <c r="L66" s="2" t="s">
        <v>320</v>
      </c>
      <c r="M66" s="2">
        <v>0</v>
      </c>
      <c r="N66" s="2" t="s">
        <v>335</v>
      </c>
      <c r="O66" s="2" t="s">
        <v>80</v>
      </c>
      <c r="P66" s="2" t="s">
        <v>80</v>
      </c>
      <c r="Q66" s="2" t="s">
        <v>69</v>
      </c>
      <c r="R66" s="2" t="s">
        <v>70</v>
      </c>
      <c r="S66" s="2" t="s">
        <v>336</v>
      </c>
      <c r="T66" s="2" t="s">
        <v>337</v>
      </c>
      <c r="U66" s="2" t="s">
        <v>338</v>
      </c>
      <c r="V66" s="2" t="s">
        <v>337</v>
      </c>
      <c r="W66" s="2" t="s">
        <v>113</v>
      </c>
      <c r="X66" s="38">
        <v>358</v>
      </c>
      <c r="Y66" s="38">
        <v>179</v>
      </c>
      <c r="Z66" s="38">
        <v>179</v>
      </c>
      <c r="AA66" s="38">
        <v>261</v>
      </c>
      <c r="AB66" s="38">
        <v>124</v>
      </c>
      <c r="AC66" s="38">
        <v>137</v>
      </c>
      <c r="AD66" s="38">
        <v>6</v>
      </c>
      <c r="AE66" s="38">
        <v>2</v>
      </c>
      <c r="AF66" s="38">
        <v>4</v>
      </c>
      <c r="AG66" s="38">
        <v>0</v>
      </c>
      <c r="AH66" s="38">
        <v>0</v>
      </c>
      <c r="AI66" s="38">
        <v>0</v>
      </c>
      <c r="AJ66" s="38">
        <v>91</v>
      </c>
      <c r="AK66" s="37">
        <v>25.41899441340782</v>
      </c>
      <c r="AL66" s="40">
        <f t="shared" si="0"/>
        <v>53</v>
      </c>
      <c r="AM66" s="37">
        <f t="shared" si="1"/>
        <v>29.608938547486037</v>
      </c>
      <c r="AN66" s="40">
        <f t="shared" si="2"/>
        <v>38</v>
      </c>
      <c r="AO66" s="37">
        <f t="shared" si="3"/>
        <v>21.229050279329609</v>
      </c>
      <c r="AP66" s="38">
        <v>485</v>
      </c>
      <c r="AQ66" s="38">
        <v>234</v>
      </c>
      <c r="AR66" s="38">
        <v>251</v>
      </c>
      <c r="AS66" s="38">
        <v>186</v>
      </c>
      <c r="AT66" s="38">
        <v>88</v>
      </c>
      <c r="AU66" s="38">
        <v>98</v>
      </c>
      <c r="AV66" s="38">
        <v>37</v>
      </c>
      <c r="AW66" s="38">
        <v>21</v>
      </c>
      <c r="AX66" s="38">
        <v>16</v>
      </c>
      <c r="AY66" s="38">
        <v>410</v>
      </c>
      <c r="AZ66" s="38">
        <v>208</v>
      </c>
      <c r="BA66" s="38">
        <v>202</v>
      </c>
      <c r="BB66" s="38">
        <v>74</v>
      </c>
      <c r="BC66" s="37">
        <v>18.048780487804876</v>
      </c>
      <c r="BD66" s="40">
        <v>41</v>
      </c>
      <c r="BE66" s="37">
        <v>19.71153846153846</v>
      </c>
      <c r="BF66" s="40">
        <v>33</v>
      </c>
      <c r="BG66" s="37">
        <v>16.336633663366339</v>
      </c>
      <c r="BH66" s="38">
        <v>37</v>
      </c>
      <c r="BI66" s="38">
        <v>76</v>
      </c>
      <c r="BJ66" s="38">
        <v>39</v>
      </c>
      <c r="BK66" s="38">
        <v>37</v>
      </c>
      <c r="BL66" s="37">
        <v>48.684210526315788</v>
      </c>
      <c r="BM66" s="37">
        <v>53.846153846153847</v>
      </c>
      <c r="BN66" s="37">
        <v>43.243243243243242</v>
      </c>
      <c r="BO66" s="38">
        <v>139</v>
      </c>
      <c r="BP66" s="38">
        <v>79</v>
      </c>
      <c r="BQ66" s="38">
        <v>60</v>
      </c>
      <c r="BR66" s="37">
        <v>26.618705035971225</v>
      </c>
      <c r="BS66" s="37">
        <v>26.582278481012654</v>
      </c>
      <c r="BT66" s="37">
        <v>26.666666666666668</v>
      </c>
      <c r="BU66" s="2"/>
      <c r="BV66" s="2"/>
    </row>
    <row r="67" spans="1:74" ht="15.75" x14ac:dyDescent="0.3">
      <c r="A67" s="2" t="s">
        <v>54</v>
      </c>
      <c r="B67" s="2" t="s">
        <v>55</v>
      </c>
      <c r="C67" s="2" t="s">
        <v>105</v>
      </c>
      <c r="D67" s="2" t="s">
        <v>57</v>
      </c>
      <c r="E67" s="2" t="s">
        <v>95</v>
      </c>
      <c r="F67" s="2" t="s">
        <v>106</v>
      </c>
      <c r="G67" s="2" t="s">
        <v>186</v>
      </c>
      <c r="H67" s="2" t="s">
        <v>187</v>
      </c>
      <c r="I67" s="2" t="s">
        <v>150</v>
      </c>
      <c r="J67" s="2" t="s">
        <v>339</v>
      </c>
      <c r="K67" s="2" t="s">
        <v>76</v>
      </c>
      <c r="L67" s="2" t="s">
        <v>340</v>
      </c>
      <c r="M67" s="2">
        <v>0</v>
      </c>
      <c r="N67" s="2" t="s">
        <v>341</v>
      </c>
      <c r="O67" s="2" t="s">
        <v>342</v>
      </c>
      <c r="P67" s="2" t="s">
        <v>80</v>
      </c>
      <c r="Q67" s="2" t="s">
        <v>144</v>
      </c>
      <c r="R67" s="2" t="s">
        <v>145</v>
      </c>
      <c r="S67" s="2" t="s">
        <v>343</v>
      </c>
      <c r="T67" s="2" t="s">
        <v>344</v>
      </c>
      <c r="U67" s="2" t="s">
        <v>345</v>
      </c>
      <c r="V67" s="2" t="s">
        <v>344</v>
      </c>
      <c r="W67" s="2" t="s">
        <v>74</v>
      </c>
      <c r="X67" s="38">
        <v>211</v>
      </c>
      <c r="Y67" s="38">
        <v>90</v>
      </c>
      <c r="Z67" s="38">
        <v>121</v>
      </c>
      <c r="AA67" s="38">
        <v>167</v>
      </c>
      <c r="AB67" s="38">
        <v>56</v>
      </c>
      <c r="AC67" s="38">
        <v>111</v>
      </c>
      <c r="AD67" s="38">
        <v>5</v>
      </c>
      <c r="AE67" s="38">
        <v>3</v>
      </c>
      <c r="AF67" s="38">
        <v>2</v>
      </c>
      <c r="AG67" s="38">
        <v>0</v>
      </c>
      <c r="AH67" s="38">
        <v>0</v>
      </c>
      <c r="AI67" s="38">
        <v>0</v>
      </c>
      <c r="AJ67" s="38">
        <v>39</v>
      </c>
      <c r="AK67" s="37">
        <v>18.48341232227488</v>
      </c>
      <c r="AL67" s="40">
        <f t="shared" si="0"/>
        <v>31</v>
      </c>
      <c r="AM67" s="37">
        <f t="shared" si="1"/>
        <v>34.444444444444443</v>
      </c>
      <c r="AN67" s="40">
        <f t="shared" si="2"/>
        <v>8</v>
      </c>
      <c r="AO67" s="37">
        <f t="shared" si="3"/>
        <v>6.6115702479338845</v>
      </c>
      <c r="AP67" s="38">
        <v>249</v>
      </c>
      <c r="AQ67" s="38">
        <v>111</v>
      </c>
      <c r="AR67" s="38">
        <v>138</v>
      </c>
      <c r="AS67" s="38">
        <v>92</v>
      </c>
      <c r="AT67" s="38">
        <v>47</v>
      </c>
      <c r="AU67" s="38">
        <v>45</v>
      </c>
      <c r="AV67" s="38">
        <v>43</v>
      </c>
      <c r="AW67" s="38">
        <v>16</v>
      </c>
      <c r="AX67" s="38">
        <v>27</v>
      </c>
      <c r="AY67" s="38">
        <v>212</v>
      </c>
      <c r="AZ67" s="38">
        <v>90</v>
      </c>
      <c r="BA67" s="38">
        <v>122</v>
      </c>
      <c r="BB67" s="38">
        <v>12</v>
      </c>
      <c r="BC67" s="37">
        <v>5.6603773584905666</v>
      </c>
      <c r="BD67" s="40">
        <v>10</v>
      </c>
      <c r="BE67" s="37">
        <v>11.111111111111111</v>
      </c>
      <c r="BF67" s="40">
        <v>2</v>
      </c>
      <c r="BG67" s="37">
        <v>1.639344262295082</v>
      </c>
      <c r="BH67" s="38">
        <v>43</v>
      </c>
      <c r="BI67" s="38">
        <v>48</v>
      </c>
      <c r="BJ67" s="38">
        <v>19</v>
      </c>
      <c r="BK67" s="38">
        <v>29</v>
      </c>
      <c r="BL67" s="37">
        <v>89.583333333333343</v>
      </c>
      <c r="BM67" s="37">
        <v>84.210526315789465</v>
      </c>
      <c r="BN67" s="37">
        <v>93.103448275862064</v>
      </c>
      <c r="BO67" s="38">
        <v>84</v>
      </c>
      <c r="BP67" s="38">
        <v>40</v>
      </c>
      <c r="BQ67" s="38">
        <v>44</v>
      </c>
      <c r="BR67" s="37">
        <v>51.19047619047619</v>
      </c>
      <c r="BS67" s="37">
        <v>40</v>
      </c>
      <c r="BT67" s="37">
        <v>61.363636363636367</v>
      </c>
      <c r="BU67" s="2"/>
      <c r="BV67" s="2"/>
    </row>
    <row r="68" spans="1:74" ht="15.75" x14ac:dyDescent="0.3">
      <c r="A68" s="2" t="s">
        <v>54</v>
      </c>
      <c r="B68" s="2" t="s">
        <v>55</v>
      </c>
      <c r="C68" s="2" t="s">
        <v>105</v>
      </c>
      <c r="D68" s="2" t="s">
        <v>57</v>
      </c>
      <c r="E68" s="2" t="s">
        <v>95</v>
      </c>
      <c r="F68" s="2" t="s">
        <v>106</v>
      </c>
      <c r="G68" s="2" t="s">
        <v>60</v>
      </c>
      <c r="H68" s="2" t="s">
        <v>61</v>
      </c>
      <c r="I68" s="2" t="s">
        <v>140</v>
      </c>
      <c r="J68" s="2" t="s">
        <v>346</v>
      </c>
      <c r="K68" s="2" t="s">
        <v>76</v>
      </c>
      <c r="L68" s="2" t="s">
        <v>320</v>
      </c>
      <c r="M68" s="2">
        <v>2</v>
      </c>
      <c r="N68" s="2" t="s">
        <v>347</v>
      </c>
      <c r="O68" s="2" t="s">
        <v>80</v>
      </c>
      <c r="P68" s="2" t="s">
        <v>80</v>
      </c>
      <c r="Q68" s="2" t="s">
        <v>144</v>
      </c>
      <c r="R68" s="2" t="s">
        <v>145</v>
      </c>
      <c r="S68" s="2" t="s">
        <v>348</v>
      </c>
      <c r="T68" s="2" t="s">
        <v>349</v>
      </c>
      <c r="U68" s="2" t="s">
        <v>350</v>
      </c>
      <c r="V68" s="2" t="s">
        <v>349</v>
      </c>
      <c r="W68" s="2" t="s">
        <v>74</v>
      </c>
      <c r="X68" s="38">
        <v>215</v>
      </c>
      <c r="Y68" s="38">
        <v>103</v>
      </c>
      <c r="Z68" s="38">
        <v>112</v>
      </c>
      <c r="AA68" s="38">
        <v>188</v>
      </c>
      <c r="AB68" s="38">
        <v>88</v>
      </c>
      <c r="AC68" s="38">
        <v>100</v>
      </c>
      <c r="AD68" s="38">
        <v>3</v>
      </c>
      <c r="AE68" s="38">
        <v>1</v>
      </c>
      <c r="AF68" s="38">
        <v>2</v>
      </c>
      <c r="AG68" s="38">
        <v>0</v>
      </c>
      <c r="AH68" s="38">
        <v>0</v>
      </c>
      <c r="AI68" s="38">
        <v>0</v>
      </c>
      <c r="AJ68" s="38">
        <v>24</v>
      </c>
      <c r="AK68" s="37">
        <v>11.162790697674419</v>
      </c>
      <c r="AL68" s="40">
        <f t="shared" si="0"/>
        <v>14</v>
      </c>
      <c r="AM68" s="37">
        <f t="shared" si="1"/>
        <v>13.592233009708737</v>
      </c>
      <c r="AN68" s="40">
        <f t="shared" si="2"/>
        <v>10</v>
      </c>
      <c r="AO68" s="37">
        <f t="shared" si="3"/>
        <v>8.9285714285714288</v>
      </c>
      <c r="AP68" s="38">
        <v>245</v>
      </c>
      <c r="AQ68" s="38">
        <v>108</v>
      </c>
      <c r="AR68" s="38">
        <v>137</v>
      </c>
      <c r="AS68" s="38">
        <v>95</v>
      </c>
      <c r="AT68" s="38">
        <v>36</v>
      </c>
      <c r="AU68" s="38">
        <v>59</v>
      </c>
      <c r="AV68" s="38">
        <v>58</v>
      </c>
      <c r="AW68" s="38">
        <v>29</v>
      </c>
      <c r="AX68" s="38">
        <v>29</v>
      </c>
      <c r="AY68" s="38">
        <v>229</v>
      </c>
      <c r="AZ68" s="38">
        <v>109</v>
      </c>
      <c r="BA68" s="38">
        <v>120</v>
      </c>
      <c r="BB68" s="38">
        <v>21</v>
      </c>
      <c r="BC68" s="37">
        <v>9.1703056768558966</v>
      </c>
      <c r="BD68" s="40">
        <v>8</v>
      </c>
      <c r="BE68" s="37">
        <v>7.3394495412844041</v>
      </c>
      <c r="BF68" s="40">
        <v>13</v>
      </c>
      <c r="BG68" s="37">
        <v>10.833333333333334</v>
      </c>
      <c r="BH68" s="38">
        <v>58</v>
      </c>
      <c r="BI68" s="38">
        <v>59</v>
      </c>
      <c r="BJ68" s="38">
        <v>29</v>
      </c>
      <c r="BK68" s="38">
        <v>30</v>
      </c>
      <c r="BL68" s="37">
        <v>98.305084745762713</v>
      </c>
      <c r="BM68" s="37">
        <v>100</v>
      </c>
      <c r="BN68" s="37">
        <v>96.666666666666671</v>
      </c>
      <c r="BO68" s="38">
        <v>84</v>
      </c>
      <c r="BP68" s="38">
        <v>42</v>
      </c>
      <c r="BQ68" s="38">
        <v>42</v>
      </c>
      <c r="BR68" s="37">
        <v>69.047619047619051</v>
      </c>
      <c r="BS68" s="37">
        <v>69.047619047619051</v>
      </c>
      <c r="BT68" s="37">
        <v>69.047619047619051</v>
      </c>
      <c r="BU68" s="2"/>
      <c r="BV68" s="2"/>
    </row>
    <row r="69" spans="1:74" ht="15.75" x14ac:dyDescent="0.3">
      <c r="A69" s="2" t="s">
        <v>54</v>
      </c>
      <c r="B69" s="2" t="s">
        <v>55</v>
      </c>
      <c r="C69" s="2" t="s">
        <v>105</v>
      </c>
      <c r="D69" s="2" t="s">
        <v>57</v>
      </c>
      <c r="E69" s="2" t="s">
        <v>95</v>
      </c>
      <c r="F69" s="2" t="s">
        <v>106</v>
      </c>
      <c r="G69" s="2" t="s">
        <v>60</v>
      </c>
      <c r="H69" s="2" t="s">
        <v>61</v>
      </c>
      <c r="I69" s="2" t="s">
        <v>304</v>
      </c>
      <c r="J69" s="2" t="s">
        <v>304</v>
      </c>
      <c r="K69" s="2" t="s">
        <v>76</v>
      </c>
      <c r="L69" s="2" t="s">
        <v>351</v>
      </c>
      <c r="M69" s="2">
        <v>0</v>
      </c>
      <c r="N69" s="2" t="s">
        <v>352</v>
      </c>
      <c r="O69" s="2" t="s">
        <v>353</v>
      </c>
      <c r="P69" s="2" t="s">
        <v>80</v>
      </c>
      <c r="Q69" s="2" t="s">
        <v>135</v>
      </c>
      <c r="R69" s="2" t="s">
        <v>136</v>
      </c>
      <c r="S69" s="2" t="s">
        <v>354</v>
      </c>
      <c r="T69" s="2" t="s">
        <v>355</v>
      </c>
      <c r="U69" s="2" t="s">
        <v>356</v>
      </c>
      <c r="V69" s="2" t="s">
        <v>355</v>
      </c>
      <c r="W69" s="2" t="s">
        <v>74</v>
      </c>
      <c r="X69" s="38">
        <v>159</v>
      </c>
      <c r="Y69" s="38">
        <v>85</v>
      </c>
      <c r="Z69" s="38">
        <v>74</v>
      </c>
      <c r="AA69" s="38">
        <v>156</v>
      </c>
      <c r="AB69" s="38">
        <v>82</v>
      </c>
      <c r="AC69" s="38">
        <v>74</v>
      </c>
      <c r="AD69" s="38">
        <v>1</v>
      </c>
      <c r="AE69" s="38">
        <v>1</v>
      </c>
      <c r="AF69" s="38">
        <v>0</v>
      </c>
      <c r="AG69" s="38">
        <v>0</v>
      </c>
      <c r="AH69" s="38">
        <v>0</v>
      </c>
      <c r="AI69" s="38">
        <v>0</v>
      </c>
      <c r="AJ69" s="38">
        <v>2</v>
      </c>
      <c r="AK69" s="37">
        <v>1.257861635220126</v>
      </c>
      <c r="AL69" s="40">
        <f t="shared" si="0"/>
        <v>2</v>
      </c>
      <c r="AM69" s="37">
        <f t="shared" si="1"/>
        <v>2.3529411764705883</v>
      </c>
      <c r="AN69" s="40">
        <f t="shared" si="2"/>
        <v>0</v>
      </c>
      <c r="AO69" s="37">
        <f t="shared" si="3"/>
        <v>0</v>
      </c>
      <c r="AP69" s="38">
        <v>178</v>
      </c>
      <c r="AQ69" s="38">
        <v>98</v>
      </c>
      <c r="AR69" s="38">
        <v>80</v>
      </c>
      <c r="AS69" s="38">
        <v>62</v>
      </c>
      <c r="AT69" s="38">
        <v>33</v>
      </c>
      <c r="AU69" s="38">
        <v>29</v>
      </c>
      <c r="AV69" s="38">
        <v>39</v>
      </c>
      <c r="AW69" s="38">
        <v>17</v>
      </c>
      <c r="AX69" s="38">
        <v>22</v>
      </c>
      <c r="AY69" s="38">
        <v>161</v>
      </c>
      <c r="AZ69" s="38">
        <v>86</v>
      </c>
      <c r="BA69" s="38">
        <v>75</v>
      </c>
      <c r="BB69" s="38">
        <v>6</v>
      </c>
      <c r="BC69" s="37">
        <v>3.7267080745341614</v>
      </c>
      <c r="BD69" s="40">
        <v>4</v>
      </c>
      <c r="BE69" s="37">
        <v>4.6511627906976747</v>
      </c>
      <c r="BF69" s="40">
        <v>2</v>
      </c>
      <c r="BG69" s="37">
        <v>2.666666666666667</v>
      </c>
      <c r="BH69" s="38">
        <v>39</v>
      </c>
      <c r="BI69" s="38">
        <v>40</v>
      </c>
      <c r="BJ69" s="38">
        <v>17</v>
      </c>
      <c r="BK69" s="38">
        <v>23</v>
      </c>
      <c r="BL69" s="37">
        <v>97.5</v>
      </c>
      <c r="BM69" s="37">
        <v>100</v>
      </c>
      <c r="BN69" s="37">
        <v>95.652173913043484</v>
      </c>
      <c r="BO69" s="38">
        <v>49</v>
      </c>
      <c r="BP69" s="38">
        <v>21</v>
      </c>
      <c r="BQ69" s="38">
        <v>28</v>
      </c>
      <c r="BR69" s="37">
        <v>79.591836734693871</v>
      </c>
      <c r="BS69" s="37">
        <v>80.952380952380949</v>
      </c>
      <c r="BT69" s="37">
        <v>78.571428571428569</v>
      </c>
      <c r="BU69" s="2"/>
      <c r="BV69" s="2"/>
    </row>
    <row r="70" spans="1:74" ht="15.75" x14ac:dyDescent="0.3">
      <c r="A70" s="2" t="s">
        <v>54</v>
      </c>
      <c r="B70" s="2" t="s">
        <v>55</v>
      </c>
      <c r="C70" s="2" t="s">
        <v>105</v>
      </c>
      <c r="D70" s="2" t="s">
        <v>57</v>
      </c>
      <c r="E70" s="2" t="s">
        <v>95</v>
      </c>
      <c r="F70" s="2" t="s">
        <v>106</v>
      </c>
      <c r="G70" s="2" t="s">
        <v>60</v>
      </c>
      <c r="H70" s="2" t="s">
        <v>61</v>
      </c>
      <c r="I70" s="2" t="s">
        <v>140</v>
      </c>
      <c r="J70" s="2" t="s">
        <v>357</v>
      </c>
      <c r="K70" s="2" t="s">
        <v>76</v>
      </c>
      <c r="L70" s="2" t="s">
        <v>358</v>
      </c>
      <c r="M70" s="2">
        <v>0</v>
      </c>
      <c r="N70" s="2" t="s">
        <v>359</v>
      </c>
      <c r="O70" s="2" t="s">
        <v>360</v>
      </c>
      <c r="P70" s="2" t="s">
        <v>80</v>
      </c>
      <c r="Q70" s="2" t="s">
        <v>144</v>
      </c>
      <c r="R70" s="2" t="s">
        <v>145</v>
      </c>
      <c r="S70" s="2" t="s">
        <v>361</v>
      </c>
      <c r="T70" s="2" t="s">
        <v>362</v>
      </c>
      <c r="U70" s="2" t="s">
        <v>363</v>
      </c>
      <c r="V70" s="2" t="s">
        <v>362</v>
      </c>
      <c r="W70" s="2" t="s">
        <v>74</v>
      </c>
      <c r="X70" s="38">
        <v>206</v>
      </c>
      <c r="Y70" s="38">
        <v>99</v>
      </c>
      <c r="Z70" s="38">
        <v>107</v>
      </c>
      <c r="AA70" s="38">
        <v>190</v>
      </c>
      <c r="AB70" s="38">
        <v>91</v>
      </c>
      <c r="AC70" s="38">
        <v>99</v>
      </c>
      <c r="AD70" s="38">
        <v>6</v>
      </c>
      <c r="AE70" s="38">
        <v>1</v>
      </c>
      <c r="AF70" s="38">
        <v>5</v>
      </c>
      <c r="AG70" s="38">
        <v>0</v>
      </c>
      <c r="AH70" s="38">
        <v>0</v>
      </c>
      <c r="AI70" s="38">
        <v>0</v>
      </c>
      <c r="AJ70" s="38">
        <v>10</v>
      </c>
      <c r="AK70" s="37">
        <v>4.8543689320388346</v>
      </c>
      <c r="AL70" s="40">
        <f t="shared" si="0"/>
        <v>7</v>
      </c>
      <c r="AM70" s="37">
        <f t="shared" si="1"/>
        <v>7.0707070707070701</v>
      </c>
      <c r="AN70" s="40">
        <f t="shared" si="2"/>
        <v>3</v>
      </c>
      <c r="AO70" s="37">
        <f t="shared" si="3"/>
        <v>2.8037383177570092</v>
      </c>
      <c r="AP70" s="38">
        <v>249</v>
      </c>
      <c r="AQ70" s="38">
        <v>108</v>
      </c>
      <c r="AR70" s="38">
        <v>141</v>
      </c>
      <c r="AS70" s="38">
        <v>101</v>
      </c>
      <c r="AT70" s="38">
        <v>37</v>
      </c>
      <c r="AU70" s="38">
        <v>64</v>
      </c>
      <c r="AV70" s="38">
        <v>49</v>
      </c>
      <c r="AW70" s="38">
        <v>23</v>
      </c>
      <c r="AX70" s="38">
        <v>26</v>
      </c>
      <c r="AY70" s="38">
        <v>211</v>
      </c>
      <c r="AZ70" s="38">
        <v>105</v>
      </c>
      <c r="BA70" s="38">
        <v>106</v>
      </c>
      <c r="BB70" s="38">
        <v>14</v>
      </c>
      <c r="BC70" s="37">
        <v>6.6350710900473935</v>
      </c>
      <c r="BD70" s="40">
        <v>11</v>
      </c>
      <c r="BE70" s="37">
        <v>10.476190476190476</v>
      </c>
      <c r="BF70" s="40">
        <v>3</v>
      </c>
      <c r="BG70" s="37">
        <v>2.8301886792452833</v>
      </c>
      <c r="BH70" s="38">
        <v>49</v>
      </c>
      <c r="BI70" s="38">
        <v>50</v>
      </c>
      <c r="BJ70" s="38">
        <v>23</v>
      </c>
      <c r="BK70" s="38">
        <v>27</v>
      </c>
      <c r="BL70" s="37">
        <v>98</v>
      </c>
      <c r="BM70" s="37">
        <v>100</v>
      </c>
      <c r="BN70" s="37">
        <v>96.296296296296291</v>
      </c>
      <c r="BO70" s="38">
        <v>69</v>
      </c>
      <c r="BP70" s="38">
        <v>30</v>
      </c>
      <c r="BQ70" s="38">
        <v>39</v>
      </c>
      <c r="BR70" s="37">
        <v>71.014492753623188</v>
      </c>
      <c r="BS70" s="37">
        <v>76.666666666666671</v>
      </c>
      <c r="BT70" s="37">
        <v>66.666666666666657</v>
      </c>
      <c r="BU70" s="2"/>
      <c r="BV70" s="2"/>
    </row>
    <row r="71" spans="1:74" ht="15.75" x14ac:dyDescent="0.3">
      <c r="A71" s="2" t="s">
        <v>54</v>
      </c>
      <c r="B71" s="2" t="s">
        <v>55</v>
      </c>
      <c r="C71" s="2" t="s">
        <v>56</v>
      </c>
      <c r="D71" s="2" t="s">
        <v>57</v>
      </c>
      <c r="E71" s="2" t="s">
        <v>95</v>
      </c>
      <c r="F71" s="2" t="s">
        <v>106</v>
      </c>
      <c r="G71" s="2" t="s">
        <v>60</v>
      </c>
      <c r="H71" s="2" t="s">
        <v>61</v>
      </c>
      <c r="I71" s="2" t="s">
        <v>62</v>
      </c>
      <c r="J71" s="2" t="s">
        <v>63</v>
      </c>
      <c r="K71" s="2" t="s">
        <v>364</v>
      </c>
      <c r="L71" s="2" t="s">
        <v>365</v>
      </c>
      <c r="M71" s="2">
        <v>35</v>
      </c>
      <c r="N71" s="2" t="s">
        <v>366</v>
      </c>
      <c r="O71" s="2" t="s">
        <v>322</v>
      </c>
      <c r="P71" s="2" t="s">
        <v>367</v>
      </c>
      <c r="Q71" s="2" t="s">
        <v>69</v>
      </c>
      <c r="R71" s="2" t="s">
        <v>70</v>
      </c>
      <c r="S71" s="2" t="s">
        <v>368</v>
      </c>
      <c r="T71" s="2" t="s">
        <v>369</v>
      </c>
      <c r="U71" s="2" t="s">
        <v>370</v>
      </c>
      <c r="V71" s="2" t="s">
        <v>369</v>
      </c>
      <c r="W71" s="2" t="s">
        <v>84</v>
      </c>
      <c r="X71" s="38">
        <v>780</v>
      </c>
      <c r="Y71" s="38">
        <v>416</v>
      </c>
      <c r="Z71" s="38">
        <v>364</v>
      </c>
      <c r="AA71" s="38">
        <v>290</v>
      </c>
      <c r="AB71" s="38">
        <v>136</v>
      </c>
      <c r="AC71" s="38">
        <v>154</v>
      </c>
      <c r="AD71" s="38">
        <v>48</v>
      </c>
      <c r="AE71" s="38">
        <v>30</v>
      </c>
      <c r="AF71" s="38">
        <v>18</v>
      </c>
      <c r="AG71" s="38">
        <v>0</v>
      </c>
      <c r="AH71" s="38">
        <v>0</v>
      </c>
      <c r="AI71" s="38">
        <v>0</v>
      </c>
      <c r="AJ71" s="38">
        <v>442</v>
      </c>
      <c r="AK71" s="37">
        <v>56.666666666666664</v>
      </c>
      <c r="AL71" s="40">
        <f t="shared" si="0"/>
        <v>250</v>
      </c>
      <c r="AM71" s="37">
        <f t="shared" si="1"/>
        <v>60.096153846153847</v>
      </c>
      <c r="AN71" s="40">
        <f t="shared" si="2"/>
        <v>192</v>
      </c>
      <c r="AO71" s="37">
        <f t="shared" si="3"/>
        <v>52.747252747252752</v>
      </c>
      <c r="AP71" s="38">
        <v>992</v>
      </c>
      <c r="AQ71" s="38">
        <v>524</v>
      </c>
      <c r="AR71" s="38">
        <v>468</v>
      </c>
      <c r="AS71" s="38">
        <v>788</v>
      </c>
      <c r="AT71" s="38">
        <v>410</v>
      </c>
      <c r="AU71" s="38">
        <v>378</v>
      </c>
      <c r="AV71" s="38">
        <v>59</v>
      </c>
      <c r="AW71" s="38">
        <v>31</v>
      </c>
      <c r="AX71" s="38">
        <v>28</v>
      </c>
      <c r="AY71" s="38">
        <v>744</v>
      </c>
      <c r="AZ71" s="38">
        <v>390</v>
      </c>
      <c r="BA71" s="38">
        <v>354</v>
      </c>
      <c r="BB71" s="38">
        <v>481</v>
      </c>
      <c r="BC71" s="37">
        <v>64.650537634408607</v>
      </c>
      <c r="BD71" s="40">
        <v>245</v>
      </c>
      <c r="BE71" s="37">
        <v>62.820512820512818</v>
      </c>
      <c r="BF71" s="40">
        <v>236</v>
      </c>
      <c r="BG71" s="37">
        <v>66.666666666666657</v>
      </c>
      <c r="BH71" s="38">
        <v>59</v>
      </c>
      <c r="BI71" s="38">
        <v>133</v>
      </c>
      <c r="BJ71" s="38">
        <v>74</v>
      </c>
      <c r="BK71" s="38">
        <v>59</v>
      </c>
      <c r="BL71" s="37">
        <v>44.360902255639097</v>
      </c>
      <c r="BM71" s="37">
        <v>41.891891891891895</v>
      </c>
      <c r="BN71" s="37">
        <v>47.457627118644069</v>
      </c>
      <c r="BO71" s="38">
        <v>348</v>
      </c>
      <c r="BP71" s="38">
        <v>196</v>
      </c>
      <c r="BQ71" s="38">
        <v>152</v>
      </c>
      <c r="BR71" s="37">
        <v>16.954022988505745</v>
      </c>
      <c r="BS71" s="37">
        <v>15.816326530612246</v>
      </c>
      <c r="BT71" s="37">
        <v>18.421052631578945</v>
      </c>
      <c r="BU71" s="2"/>
      <c r="BV71" s="2"/>
    </row>
    <row r="72" spans="1:74" ht="15.75" x14ac:dyDescent="0.3">
      <c r="A72" s="2" t="s">
        <v>54</v>
      </c>
      <c r="B72" s="2" t="s">
        <v>55</v>
      </c>
      <c r="C72" s="2" t="s">
        <v>105</v>
      </c>
      <c r="D72" s="2" t="s">
        <v>57</v>
      </c>
      <c r="E72" s="2" t="s">
        <v>95</v>
      </c>
      <c r="F72" s="2" t="s">
        <v>106</v>
      </c>
      <c r="G72" s="2" t="s">
        <v>186</v>
      </c>
      <c r="H72" s="2" t="s">
        <v>187</v>
      </c>
      <c r="I72" s="2" t="s">
        <v>304</v>
      </c>
      <c r="J72" s="2" t="s">
        <v>371</v>
      </c>
      <c r="K72" s="2" t="s">
        <v>76</v>
      </c>
      <c r="L72" s="2" t="s">
        <v>372</v>
      </c>
      <c r="M72" s="2">
        <v>0</v>
      </c>
      <c r="N72" s="2" t="s">
        <v>373</v>
      </c>
      <c r="O72" s="2" t="s">
        <v>374</v>
      </c>
      <c r="P72" s="2" t="s">
        <v>80</v>
      </c>
      <c r="Q72" s="2" t="s">
        <v>135</v>
      </c>
      <c r="R72" s="2" t="s">
        <v>136</v>
      </c>
      <c r="S72" s="2" t="s">
        <v>375</v>
      </c>
      <c r="T72" s="2" t="s">
        <v>376</v>
      </c>
      <c r="U72" s="2" t="s">
        <v>377</v>
      </c>
      <c r="V72" s="2" t="s">
        <v>376</v>
      </c>
      <c r="W72" s="2" t="s">
        <v>74</v>
      </c>
      <c r="X72" s="38">
        <v>161</v>
      </c>
      <c r="Y72" s="38">
        <v>68</v>
      </c>
      <c r="Z72" s="38">
        <v>93</v>
      </c>
      <c r="AA72" s="38">
        <v>149</v>
      </c>
      <c r="AB72" s="38">
        <v>60</v>
      </c>
      <c r="AC72" s="38">
        <v>89</v>
      </c>
      <c r="AD72" s="38">
        <v>1</v>
      </c>
      <c r="AE72" s="38">
        <v>0</v>
      </c>
      <c r="AF72" s="38">
        <v>1</v>
      </c>
      <c r="AG72" s="38">
        <v>0</v>
      </c>
      <c r="AH72" s="38">
        <v>0</v>
      </c>
      <c r="AI72" s="38">
        <v>0</v>
      </c>
      <c r="AJ72" s="38">
        <v>11</v>
      </c>
      <c r="AK72" s="37">
        <v>6.8322981366459627</v>
      </c>
      <c r="AL72" s="40">
        <f t="shared" si="0"/>
        <v>8</v>
      </c>
      <c r="AM72" s="37">
        <f t="shared" si="1"/>
        <v>11.76470588235294</v>
      </c>
      <c r="AN72" s="40">
        <f t="shared" si="2"/>
        <v>3</v>
      </c>
      <c r="AO72" s="37">
        <f t="shared" si="3"/>
        <v>3.225806451612903</v>
      </c>
      <c r="AP72" s="38">
        <v>183</v>
      </c>
      <c r="AQ72" s="38">
        <v>85</v>
      </c>
      <c r="AR72" s="38">
        <v>98</v>
      </c>
      <c r="AS72" s="38">
        <v>63</v>
      </c>
      <c r="AT72" s="38">
        <v>35</v>
      </c>
      <c r="AU72" s="38">
        <v>28</v>
      </c>
      <c r="AV72" s="38">
        <v>37</v>
      </c>
      <c r="AW72" s="38">
        <v>14</v>
      </c>
      <c r="AX72" s="38">
        <v>23</v>
      </c>
      <c r="AY72" s="38">
        <v>162</v>
      </c>
      <c r="AZ72" s="38">
        <v>69</v>
      </c>
      <c r="BA72" s="38">
        <v>93</v>
      </c>
      <c r="BB72" s="38">
        <v>5</v>
      </c>
      <c r="BC72" s="37">
        <v>3.0864197530864197</v>
      </c>
      <c r="BD72" s="40">
        <v>5</v>
      </c>
      <c r="BE72" s="37">
        <v>7.2463768115942031</v>
      </c>
      <c r="BF72" s="40">
        <v>0</v>
      </c>
      <c r="BG72" s="37">
        <v>0</v>
      </c>
      <c r="BH72" s="38">
        <v>37</v>
      </c>
      <c r="BI72" s="38">
        <v>37</v>
      </c>
      <c r="BJ72" s="38">
        <v>14</v>
      </c>
      <c r="BK72" s="38">
        <v>23</v>
      </c>
      <c r="BL72" s="37">
        <v>100</v>
      </c>
      <c r="BM72" s="37">
        <v>100</v>
      </c>
      <c r="BN72" s="37">
        <v>100</v>
      </c>
      <c r="BO72" s="38">
        <v>51</v>
      </c>
      <c r="BP72" s="38">
        <v>22</v>
      </c>
      <c r="BQ72" s="38">
        <v>29</v>
      </c>
      <c r="BR72" s="37">
        <v>72.549019607843135</v>
      </c>
      <c r="BS72" s="37">
        <v>63.636363636363633</v>
      </c>
      <c r="BT72" s="37">
        <v>79.310344827586206</v>
      </c>
      <c r="BU72" s="2"/>
      <c r="BV72" s="2"/>
    </row>
    <row r="73" spans="1:74" ht="15.75" x14ac:dyDescent="0.3">
      <c r="A73" s="2" t="s">
        <v>54</v>
      </c>
      <c r="B73" s="2" t="s">
        <v>55</v>
      </c>
      <c r="C73" s="2" t="s">
        <v>105</v>
      </c>
      <c r="D73" s="2" t="s">
        <v>57</v>
      </c>
      <c r="E73" s="2" t="s">
        <v>95</v>
      </c>
      <c r="F73" s="2" t="s">
        <v>106</v>
      </c>
      <c r="G73" s="2" t="s">
        <v>186</v>
      </c>
      <c r="H73" s="2" t="s">
        <v>187</v>
      </c>
      <c r="I73" s="2" t="s">
        <v>378</v>
      </c>
      <c r="J73" s="2" t="s">
        <v>379</v>
      </c>
      <c r="K73" s="2" t="s">
        <v>76</v>
      </c>
      <c r="L73" s="2" t="s">
        <v>380</v>
      </c>
      <c r="M73" s="2">
        <v>0</v>
      </c>
      <c r="N73" s="2" t="s">
        <v>381</v>
      </c>
      <c r="O73" s="2" t="s">
        <v>322</v>
      </c>
      <c r="P73" s="2" t="s">
        <v>382</v>
      </c>
      <c r="Q73" s="2" t="s">
        <v>144</v>
      </c>
      <c r="R73" s="2" t="s">
        <v>145</v>
      </c>
      <c r="S73" s="2" t="s">
        <v>383</v>
      </c>
      <c r="T73" s="2" t="s">
        <v>384</v>
      </c>
      <c r="U73" s="2" t="s">
        <v>385</v>
      </c>
      <c r="V73" s="2" t="s">
        <v>384</v>
      </c>
      <c r="W73" s="2" t="s">
        <v>74</v>
      </c>
      <c r="X73" s="38">
        <v>107</v>
      </c>
      <c r="Y73" s="38">
        <v>51</v>
      </c>
      <c r="Z73" s="38">
        <v>56</v>
      </c>
      <c r="AA73" s="38">
        <v>91</v>
      </c>
      <c r="AB73" s="38">
        <v>39</v>
      </c>
      <c r="AC73" s="38">
        <v>52</v>
      </c>
      <c r="AD73" s="38">
        <v>4</v>
      </c>
      <c r="AE73" s="38">
        <v>2</v>
      </c>
      <c r="AF73" s="38">
        <v>2</v>
      </c>
      <c r="AG73" s="38">
        <v>0</v>
      </c>
      <c r="AH73" s="38">
        <v>0</v>
      </c>
      <c r="AI73" s="38">
        <v>0</v>
      </c>
      <c r="AJ73" s="38">
        <v>12</v>
      </c>
      <c r="AK73" s="37">
        <v>11.214953271028037</v>
      </c>
      <c r="AL73" s="40">
        <f t="shared" si="0"/>
        <v>10</v>
      </c>
      <c r="AM73" s="37">
        <f t="shared" si="1"/>
        <v>19.607843137254903</v>
      </c>
      <c r="AN73" s="40">
        <f t="shared" si="2"/>
        <v>2</v>
      </c>
      <c r="AO73" s="37">
        <f t="shared" si="3"/>
        <v>3.5714285714285712</v>
      </c>
      <c r="AP73" s="38">
        <v>116</v>
      </c>
      <c r="AQ73" s="38">
        <v>55</v>
      </c>
      <c r="AR73" s="38">
        <v>61</v>
      </c>
      <c r="AS73" s="38">
        <v>42</v>
      </c>
      <c r="AT73" s="38">
        <v>16</v>
      </c>
      <c r="AU73" s="38">
        <v>26</v>
      </c>
      <c r="AV73" s="38">
        <v>23</v>
      </c>
      <c r="AW73" s="38">
        <v>6</v>
      </c>
      <c r="AX73" s="38">
        <v>17</v>
      </c>
      <c r="AY73" s="38">
        <v>110</v>
      </c>
      <c r="AZ73" s="38">
        <v>53</v>
      </c>
      <c r="BA73" s="38">
        <v>57</v>
      </c>
      <c r="BB73" s="38">
        <v>13</v>
      </c>
      <c r="BC73" s="37">
        <v>11.818181818181818</v>
      </c>
      <c r="BD73" s="40">
        <v>8</v>
      </c>
      <c r="BE73" s="37">
        <v>15.09433962264151</v>
      </c>
      <c r="BF73" s="40">
        <v>5</v>
      </c>
      <c r="BG73" s="37">
        <v>8.7719298245614024</v>
      </c>
      <c r="BH73" s="38">
        <v>23</v>
      </c>
      <c r="BI73" s="38">
        <v>26</v>
      </c>
      <c r="BJ73" s="38">
        <v>8</v>
      </c>
      <c r="BK73" s="38">
        <v>18</v>
      </c>
      <c r="BL73" s="37">
        <v>88.461538461538453</v>
      </c>
      <c r="BM73" s="37">
        <v>75</v>
      </c>
      <c r="BN73" s="37">
        <v>94.444444444444443</v>
      </c>
      <c r="BO73" s="38">
        <v>49</v>
      </c>
      <c r="BP73" s="38">
        <v>19</v>
      </c>
      <c r="BQ73" s="38">
        <v>30</v>
      </c>
      <c r="BR73" s="37">
        <v>46.938775510204081</v>
      </c>
      <c r="BS73" s="37">
        <v>31.578947368421051</v>
      </c>
      <c r="BT73" s="37">
        <v>56.666666666666664</v>
      </c>
      <c r="BU73" s="2"/>
      <c r="BV73" s="2"/>
    </row>
    <row r="74" spans="1:74" ht="15.75" x14ac:dyDescent="0.3">
      <c r="A74" s="2" t="s">
        <v>54</v>
      </c>
      <c r="B74" s="2" t="s">
        <v>55</v>
      </c>
      <c r="C74" s="2" t="s">
        <v>105</v>
      </c>
      <c r="D74" s="2" t="s">
        <v>57</v>
      </c>
      <c r="E74" s="2" t="s">
        <v>95</v>
      </c>
      <c r="F74" s="2" t="s">
        <v>106</v>
      </c>
      <c r="G74" s="2" t="s">
        <v>186</v>
      </c>
      <c r="H74" s="2" t="s">
        <v>61</v>
      </c>
      <c r="I74" s="2" t="s">
        <v>140</v>
      </c>
      <c r="J74" s="2" t="s">
        <v>386</v>
      </c>
      <c r="K74" s="2" t="s">
        <v>76</v>
      </c>
      <c r="L74" s="2" t="s">
        <v>320</v>
      </c>
      <c r="M74" s="2">
        <v>0</v>
      </c>
      <c r="N74" s="2" t="s">
        <v>387</v>
      </c>
      <c r="O74" s="2" t="s">
        <v>388</v>
      </c>
      <c r="P74" s="2" t="s">
        <v>80</v>
      </c>
      <c r="Q74" s="2" t="s">
        <v>144</v>
      </c>
      <c r="R74" s="2" t="s">
        <v>145</v>
      </c>
      <c r="S74" s="2" t="s">
        <v>389</v>
      </c>
      <c r="T74" s="2" t="s">
        <v>390</v>
      </c>
      <c r="U74" s="2" t="s">
        <v>391</v>
      </c>
      <c r="V74" s="2" t="s">
        <v>390</v>
      </c>
      <c r="W74" s="2" t="s">
        <v>74</v>
      </c>
      <c r="X74" s="38">
        <v>61</v>
      </c>
      <c r="Y74" s="38">
        <v>28</v>
      </c>
      <c r="Z74" s="38">
        <v>33</v>
      </c>
      <c r="AA74" s="38">
        <v>60</v>
      </c>
      <c r="AB74" s="38">
        <v>28</v>
      </c>
      <c r="AC74" s="38">
        <v>32</v>
      </c>
      <c r="AD74" s="38">
        <v>0</v>
      </c>
      <c r="AE74" s="38">
        <v>0</v>
      </c>
      <c r="AF74" s="38">
        <v>0</v>
      </c>
      <c r="AG74" s="38">
        <v>0</v>
      </c>
      <c r="AH74" s="38">
        <v>0</v>
      </c>
      <c r="AI74" s="38">
        <v>0</v>
      </c>
      <c r="AJ74" s="38">
        <v>1</v>
      </c>
      <c r="AK74" s="37">
        <v>1.639344262295082</v>
      </c>
      <c r="AL74" s="40">
        <f t="shared" si="0"/>
        <v>0</v>
      </c>
      <c r="AM74" s="37">
        <f t="shared" si="1"/>
        <v>0</v>
      </c>
      <c r="AN74" s="40">
        <f t="shared" si="2"/>
        <v>1</v>
      </c>
      <c r="AO74" s="37">
        <f t="shared" si="3"/>
        <v>3.0303030303030303</v>
      </c>
      <c r="AP74" s="38">
        <v>71</v>
      </c>
      <c r="AQ74" s="38">
        <v>38</v>
      </c>
      <c r="AR74" s="38">
        <v>33</v>
      </c>
      <c r="AS74" s="38">
        <v>25</v>
      </c>
      <c r="AT74" s="38">
        <v>17</v>
      </c>
      <c r="AU74" s="38">
        <v>8</v>
      </c>
      <c r="AV74" s="38">
        <v>14</v>
      </c>
      <c r="AW74" s="38">
        <v>6</v>
      </c>
      <c r="AX74" s="38">
        <v>8</v>
      </c>
      <c r="AY74" s="38">
        <v>65</v>
      </c>
      <c r="AZ74" s="38">
        <v>32</v>
      </c>
      <c r="BA74" s="38">
        <v>33</v>
      </c>
      <c r="BB74" s="38">
        <v>5</v>
      </c>
      <c r="BC74" s="37">
        <v>7.6923076923076925</v>
      </c>
      <c r="BD74" s="40">
        <v>5</v>
      </c>
      <c r="BE74" s="37">
        <v>15.625</v>
      </c>
      <c r="BF74" s="40">
        <v>0</v>
      </c>
      <c r="BG74" s="37">
        <v>0</v>
      </c>
      <c r="BH74" s="38">
        <v>14</v>
      </c>
      <c r="BI74" s="38">
        <v>15</v>
      </c>
      <c r="BJ74" s="38">
        <v>7</v>
      </c>
      <c r="BK74" s="38">
        <v>8</v>
      </c>
      <c r="BL74" s="37">
        <v>93.333333333333329</v>
      </c>
      <c r="BM74" s="37">
        <v>85.714285714285708</v>
      </c>
      <c r="BN74" s="37">
        <v>100</v>
      </c>
      <c r="BO74" s="38">
        <v>22</v>
      </c>
      <c r="BP74" s="38">
        <v>10</v>
      </c>
      <c r="BQ74" s="38">
        <v>12</v>
      </c>
      <c r="BR74" s="37">
        <v>63.636363636363633</v>
      </c>
      <c r="BS74" s="37">
        <v>60</v>
      </c>
      <c r="BT74" s="37">
        <v>66.666666666666657</v>
      </c>
      <c r="BU74" s="2"/>
      <c r="BV74" s="2"/>
    </row>
    <row r="75" spans="1:74" ht="15.75" x14ac:dyDescent="0.3">
      <c r="A75" s="2" t="s">
        <v>54</v>
      </c>
      <c r="B75" s="2" t="s">
        <v>55</v>
      </c>
      <c r="C75" s="2" t="s">
        <v>105</v>
      </c>
      <c r="D75" s="2" t="s">
        <v>57</v>
      </c>
      <c r="E75" s="2" t="s">
        <v>95</v>
      </c>
      <c r="F75" s="2" t="s">
        <v>106</v>
      </c>
      <c r="G75" s="2" t="s">
        <v>186</v>
      </c>
      <c r="H75" s="2" t="s">
        <v>187</v>
      </c>
      <c r="I75" s="2" t="s">
        <v>275</v>
      </c>
      <c r="J75" s="2" t="s">
        <v>392</v>
      </c>
      <c r="K75" s="2" t="s">
        <v>76</v>
      </c>
      <c r="L75" s="2" t="s">
        <v>393</v>
      </c>
      <c r="M75" s="2">
        <v>0</v>
      </c>
      <c r="N75" s="2" t="s">
        <v>394</v>
      </c>
      <c r="O75" s="2" t="s">
        <v>80</v>
      </c>
      <c r="P75" s="2" t="s">
        <v>80</v>
      </c>
      <c r="Q75" s="2" t="s">
        <v>135</v>
      </c>
      <c r="R75" s="2" t="s">
        <v>136</v>
      </c>
      <c r="S75" s="2" t="s">
        <v>395</v>
      </c>
      <c r="T75" s="2" t="s">
        <v>396</v>
      </c>
      <c r="U75" s="2" t="s">
        <v>397</v>
      </c>
      <c r="V75" s="2" t="s">
        <v>396</v>
      </c>
      <c r="W75" s="2" t="s">
        <v>74</v>
      </c>
      <c r="X75" s="38">
        <v>84</v>
      </c>
      <c r="Y75" s="38">
        <v>34</v>
      </c>
      <c r="Z75" s="38">
        <v>50</v>
      </c>
      <c r="AA75" s="38">
        <v>78</v>
      </c>
      <c r="AB75" s="38">
        <v>31</v>
      </c>
      <c r="AC75" s="38">
        <v>47</v>
      </c>
      <c r="AD75" s="38">
        <v>1</v>
      </c>
      <c r="AE75" s="38">
        <v>0</v>
      </c>
      <c r="AF75" s="38">
        <v>1</v>
      </c>
      <c r="AG75" s="38">
        <v>0</v>
      </c>
      <c r="AH75" s="38">
        <v>0</v>
      </c>
      <c r="AI75" s="38">
        <v>0</v>
      </c>
      <c r="AJ75" s="38">
        <v>5</v>
      </c>
      <c r="AK75" s="37">
        <v>5.9523809523809517</v>
      </c>
      <c r="AL75" s="40">
        <f t="shared" si="0"/>
        <v>3</v>
      </c>
      <c r="AM75" s="37">
        <f t="shared" si="1"/>
        <v>8.8235294117647065</v>
      </c>
      <c r="AN75" s="40">
        <f t="shared" si="2"/>
        <v>2</v>
      </c>
      <c r="AO75" s="37">
        <f t="shared" si="3"/>
        <v>4</v>
      </c>
      <c r="AP75" s="38">
        <v>102</v>
      </c>
      <c r="AQ75" s="38">
        <v>38</v>
      </c>
      <c r="AR75" s="38">
        <v>64</v>
      </c>
      <c r="AS75" s="38">
        <v>39</v>
      </c>
      <c r="AT75" s="38">
        <v>13</v>
      </c>
      <c r="AU75" s="38">
        <v>26</v>
      </c>
      <c r="AV75" s="38">
        <v>17</v>
      </c>
      <c r="AW75" s="38">
        <v>6</v>
      </c>
      <c r="AX75" s="38">
        <v>11</v>
      </c>
      <c r="AY75" s="38">
        <v>89</v>
      </c>
      <c r="AZ75" s="38">
        <v>37</v>
      </c>
      <c r="BA75" s="38">
        <v>52</v>
      </c>
      <c r="BB75" s="38">
        <v>9</v>
      </c>
      <c r="BC75" s="37">
        <v>10.112359550561797</v>
      </c>
      <c r="BD75" s="40">
        <v>6</v>
      </c>
      <c r="BE75" s="37">
        <v>16.216216216216218</v>
      </c>
      <c r="BF75" s="40">
        <v>3</v>
      </c>
      <c r="BG75" s="37">
        <v>5.7692307692307692</v>
      </c>
      <c r="BH75" s="38">
        <v>17</v>
      </c>
      <c r="BI75" s="38">
        <v>18</v>
      </c>
      <c r="BJ75" s="38">
        <v>6</v>
      </c>
      <c r="BK75" s="38">
        <v>12</v>
      </c>
      <c r="BL75" s="37">
        <v>94.444444444444443</v>
      </c>
      <c r="BM75" s="37">
        <v>100</v>
      </c>
      <c r="BN75" s="37">
        <v>91.666666666666657</v>
      </c>
      <c r="BO75" s="38">
        <v>21</v>
      </c>
      <c r="BP75" s="38">
        <v>7</v>
      </c>
      <c r="BQ75" s="38">
        <v>14</v>
      </c>
      <c r="BR75" s="37">
        <v>80.952380952380949</v>
      </c>
      <c r="BS75" s="37">
        <v>85.714285714285708</v>
      </c>
      <c r="BT75" s="37">
        <v>78.571428571428569</v>
      </c>
      <c r="BU75" s="2"/>
      <c r="BV75" s="2"/>
    </row>
    <row r="76" spans="1:74" ht="15.75" x14ac:dyDescent="0.3">
      <c r="A76" s="2" t="s">
        <v>54</v>
      </c>
      <c r="B76" s="2" t="s">
        <v>55</v>
      </c>
      <c r="C76" s="2" t="s">
        <v>105</v>
      </c>
      <c r="D76" s="2" t="s">
        <v>57</v>
      </c>
      <c r="E76" s="2" t="s">
        <v>95</v>
      </c>
      <c r="F76" s="2" t="s">
        <v>106</v>
      </c>
      <c r="G76" s="2" t="s">
        <v>186</v>
      </c>
      <c r="H76" s="2" t="s">
        <v>187</v>
      </c>
      <c r="I76" s="2" t="s">
        <v>378</v>
      </c>
      <c r="J76" s="2" t="s">
        <v>398</v>
      </c>
      <c r="K76" s="2" t="s">
        <v>76</v>
      </c>
      <c r="L76" s="2" t="s">
        <v>320</v>
      </c>
      <c r="M76" s="2">
        <v>0</v>
      </c>
      <c r="N76" s="2" t="s">
        <v>399</v>
      </c>
      <c r="O76" s="2" t="s">
        <v>80</v>
      </c>
      <c r="P76" s="2" t="s">
        <v>80</v>
      </c>
      <c r="Q76" s="2" t="s">
        <v>144</v>
      </c>
      <c r="R76" s="2" t="s">
        <v>145</v>
      </c>
      <c r="S76" s="2" t="s">
        <v>400</v>
      </c>
      <c r="T76" s="2" t="s">
        <v>401</v>
      </c>
      <c r="U76" s="2" t="s">
        <v>402</v>
      </c>
      <c r="V76" s="2" t="s">
        <v>401</v>
      </c>
      <c r="W76" s="2" t="s">
        <v>74</v>
      </c>
      <c r="X76" s="38">
        <v>109</v>
      </c>
      <c r="Y76" s="38">
        <v>56</v>
      </c>
      <c r="Z76" s="38">
        <v>53</v>
      </c>
      <c r="AA76" s="38">
        <v>91</v>
      </c>
      <c r="AB76" s="38">
        <v>46</v>
      </c>
      <c r="AC76" s="38">
        <v>45</v>
      </c>
      <c r="AD76" s="38">
        <v>8</v>
      </c>
      <c r="AE76" s="38">
        <v>3</v>
      </c>
      <c r="AF76" s="38">
        <v>5</v>
      </c>
      <c r="AG76" s="38">
        <v>0</v>
      </c>
      <c r="AH76" s="38">
        <v>0</v>
      </c>
      <c r="AI76" s="38">
        <v>0</v>
      </c>
      <c r="AJ76" s="38">
        <v>10</v>
      </c>
      <c r="AK76" s="37">
        <v>9.1743119266055047</v>
      </c>
      <c r="AL76" s="40">
        <f t="shared" si="0"/>
        <v>7</v>
      </c>
      <c r="AM76" s="37">
        <f t="shared" si="1"/>
        <v>12.5</v>
      </c>
      <c r="AN76" s="40">
        <f t="shared" si="2"/>
        <v>3</v>
      </c>
      <c r="AO76" s="37">
        <f t="shared" si="3"/>
        <v>5.6603773584905666</v>
      </c>
      <c r="AP76" s="38">
        <v>135</v>
      </c>
      <c r="AQ76" s="38">
        <v>70</v>
      </c>
      <c r="AR76" s="38">
        <v>65</v>
      </c>
      <c r="AS76" s="38">
        <v>49</v>
      </c>
      <c r="AT76" s="38">
        <v>25</v>
      </c>
      <c r="AU76" s="38">
        <v>24</v>
      </c>
      <c r="AV76" s="38">
        <v>21</v>
      </c>
      <c r="AW76" s="38">
        <v>10</v>
      </c>
      <c r="AX76" s="38">
        <v>11</v>
      </c>
      <c r="AY76" s="38">
        <v>116</v>
      </c>
      <c r="AZ76" s="38">
        <v>59</v>
      </c>
      <c r="BA76" s="38">
        <v>57</v>
      </c>
      <c r="BB76" s="38">
        <v>9</v>
      </c>
      <c r="BC76" s="37">
        <v>7.7586206896551726</v>
      </c>
      <c r="BD76" s="40">
        <v>4</v>
      </c>
      <c r="BE76" s="37">
        <v>6.7796610169491522</v>
      </c>
      <c r="BF76" s="40">
        <v>5</v>
      </c>
      <c r="BG76" s="37">
        <v>8.7719298245614024</v>
      </c>
      <c r="BH76" s="38">
        <v>21</v>
      </c>
      <c r="BI76" s="38">
        <v>19</v>
      </c>
      <c r="BJ76" s="38">
        <v>9</v>
      </c>
      <c r="BK76" s="38">
        <v>10</v>
      </c>
      <c r="BL76" s="37">
        <v>110.5263157894737</v>
      </c>
      <c r="BM76" s="37">
        <v>111.11111111111111</v>
      </c>
      <c r="BN76" s="37">
        <v>110.00000000000001</v>
      </c>
      <c r="BO76" s="38">
        <v>27</v>
      </c>
      <c r="BP76" s="38">
        <v>10</v>
      </c>
      <c r="BQ76" s="38">
        <v>17</v>
      </c>
      <c r="BR76" s="37">
        <v>77.777777777777786</v>
      </c>
      <c r="BS76" s="37">
        <v>100</v>
      </c>
      <c r="BT76" s="37">
        <v>64.705882352941174</v>
      </c>
      <c r="BU76" s="2"/>
      <c r="BV76" s="2"/>
    </row>
    <row r="77" spans="1:74" ht="15.75" x14ac:dyDescent="0.3">
      <c r="A77" s="2" t="s">
        <v>54</v>
      </c>
      <c r="B77" s="2" t="s">
        <v>55</v>
      </c>
      <c r="C77" s="2" t="s">
        <v>105</v>
      </c>
      <c r="D77" s="2" t="s">
        <v>57</v>
      </c>
      <c r="E77" s="2" t="s">
        <v>95</v>
      </c>
      <c r="F77" s="2" t="s">
        <v>106</v>
      </c>
      <c r="G77" s="2" t="s">
        <v>186</v>
      </c>
      <c r="H77" s="2" t="s">
        <v>187</v>
      </c>
      <c r="I77" s="2" t="s">
        <v>403</v>
      </c>
      <c r="J77" s="2" t="s">
        <v>404</v>
      </c>
      <c r="K77" s="2" t="s">
        <v>76</v>
      </c>
      <c r="L77" s="2" t="s">
        <v>405</v>
      </c>
      <c r="M77" s="2">
        <v>0</v>
      </c>
      <c r="N77" s="2" t="s">
        <v>406</v>
      </c>
      <c r="O77" s="2" t="s">
        <v>80</v>
      </c>
      <c r="P77" s="2" t="s">
        <v>80</v>
      </c>
      <c r="Q77" s="2" t="s">
        <v>144</v>
      </c>
      <c r="R77" s="2" t="s">
        <v>145</v>
      </c>
      <c r="S77" s="2" t="s">
        <v>407</v>
      </c>
      <c r="T77" s="2" t="s">
        <v>408</v>
      </c>
      <c r="U77" s="2" t="s">
        <v>409</v>
      </c>
      <c r="V77" s="2" t="s">
        <v>408</v>
      </c>
      <c r="W77" s="2" t="s">
        <v>74</v>
      </c>
      <c r="X77" s="38">
        <v>94</v>
      </c>
      <c r="Y77" s="38">
        <v>47</v>
      </c>
      <c r="Z77" s="38">
        <v>47</v>
      </c>
      <c r="AA77" s="38">
        <v>91</v>
      </c>
      <c r="AB77" s="38">
        <v>44</v>
      </c>
      <c r="AC77" s="38">
        <v>47</v>
      </c>
      <c r="AD77" s="38">
        <v>0</v>
      </c>
      <c r="AE77" s="38">
        <v>0</v>
      </c>
      <c r="AF77" s="38">
        <v>0</v>
      </c>
      <c r="AG77" s="38">
        <v>0</v>
      </c>
      <c r="AH77" s="38">
        <v>0</v>
      </c>
      <c r="AI77" s="38">
        <v>0</v>
      </c>
      <c r="AJ77" s="38">
        <v>3</v>
      </c>
      <c r="AK77" s="37">
        <v>3.1914893617021276</v>
      </c>
      <c r="AL77" s="40">
        <f t="shared" si="0"/>
        <v>3</v>
      </c>
      <c r="AM77" s="37">
        <f t="shared" si="1"/>
        <v>6.3829787234042552</v>
      </c>
      <c r="AN77" s="40">
        <f t="shared" si="2"/>
        <v>0</v>
      </c>
      <c r="AO77" s="37">
        <f t="shared" si="3"/>
        <v>0</v>
      </c>
      <c r="AP77" s="38">
        <v>95</v>
      </c>
      <c r="AQ77" s="38">
        <v>45</v>
      </c>
      <c r="AR77" s="38">
        <v>50</v>
      </c>
      <c r="AS77" s="38">
        <v>26</v>
      </c>
      <c r="AT77" s="38">
        <v>11</v>
      </c>
      <c r="AU77" s="38">
        <v>15</v>
      </c>
      <c r="AV77" s="38">
        <v>20</v>
      </c>
      <c r="AW77" s="38">
        <v>9</v>
      </c>
      <c r="AX77" s="38">
        <v>11</v>
      </c>
      <c r="AY77" s="38">
        <v>100</v>
      </c>
      <c r="AZ77" s="38">
        <v>48</v>
      </c>
      <c r="BA77" s="38">
        <v>52</v>
      </c>
      <c r="BB77" s="38">
        <v>11</v>
      </c>
      <c r="BC77" s="37">
        <v>11</v>
      </c>
      <c r="BD77" s="40">
        <v>5</v>
      </c>
      <c r="BE77" s="37">
        <v>10.416666666666668</v>
      </c>
      <c r="BF77" s="40">
        <v>6</v>
      </c>
      <c r="BG77" s="37">
        <v>11.538461538461538</v>
      </c>
      <c r="BH77" s="38">
        <v>20</v>
      </c>
      <c r="BI77" s="38">
        <v>20</v>
      </c>
      <c r="BJ77" s="38">
        <v>9</v>
      </c>
      <c r="BK77" s="38">
        <v>11</v>
      </c>
      <c r="BL77" s="37">
        <v>100</v>
      </c>
      <c r="BM77" s="37">
        <v>100</v>
      </c>
      <c r="BN77" s="37">
        <v>100</v>
      </c>
      <c r="BO77" s="38">
        <v>23</v>
      </c>
      <c r="BP77" s="38">
        <v>9</v>
      </c>
      <c r="BQ77" s="38">
        <v>14</v>
      </c>
      <c r="BR77" s="37">
        <v>86.956521739130437</v>
      </c>
      <c r="BS77" s="37">
        <v>100</v>
      </c>
      <c r="BT77" s="37">
        <v>78.571428571428569</v>
      </c>
      <c r="BU77" s="2"/>
      <c r="BV77" s="2"/>
    </row>
    <row r="78" spans="1:74" ht="15.75" x14ac:dyDescent="0.3">
      <c r="A78" s="2" t="s">
        <v>54</v>
      </c>
      <c r="B78" s="2" t="s">
        <v>55</v>
      </c>
      <c r="C78" s="2" t="s">
        <v>105</v>
      </c>
      <c r="D78" s="2" t="s">
        <v>57</v>
      </c>
      <c r="E78" s="2" t="s">
        <v>95</v>
      </c>
      <c r="F78" s="2" t="s">
        <v>106</v>
      </c>
      <c r="G78" s="2" t="s">
        <v>186</v>
      </c>
      <c r="H78" s="2" t="s">
        <v>187</v>
      </c>
      <c r="I78" s="2" t="s">
        <v>275</v>
      </c>
      <c r="J78" s="2" t="s">
        <v>410</v>
      </c>
      <c r="K78" s="2" t="s">
        <v>76</v>
      </c>
      <c r="L78" s="2" t="s">
        <v>320</v>
      </c>
      <c r="M78" s="2">
        <v>0</v>
      </c>
      <c r="N78" s="2" t="s">
        <v>411</v>
      </c>
      <c r="O78" s="2" t="s">
        <v>80</v>
      </c>
      <c r="P78" s="2" t="s">
        <v>80</v>
      </c>
      <c r="Q78" s="2" t="s">
        <v>135</v>
      </c>
      <c r="R78" s="2" t="s">
        <v>136</v>
      </c>
      <c r="S78" s="2" t="s">
        <v>412</v>
      </c>
      <c r="T78" s="2" t="s">
        <v>413</v>
      </c>
      <c r="U78" s="2" t="s">
        <v>414</v>
      </c>
      <c r="V78" s="2" t="s">
        <v>413</v>
      </c>
      <c r="W78" s="2" t="s">
        <v>74</v>
      </c>
      <c r="X78" s="38">
        <v>132</v>
      </c>
      <c r="Y78" s="38">
        <v>53</v>
      </c>
      <c r="Z78" s="38">
        <v>79</v>
      </c>
      <c r="AA78" s="38">
        <v>127</v>
      </c>
      <c r="AB78" s="38">
        <v>50</v>
      </c>
      <c r="AC78" s="38">
        <v>77</v>
      </c>
      <c r="AD78" s="38">
        <v>2</v>
      </c>
      <c r="AE78" s="38">
        <v>1</v>
      </c>
      <c r="AF78" s="38">
        <v>1</v>
      </c>
      <c r="AG78" s="38">
        <v>0</v>
      </c>
      <c r="AH78" s="38">
        <v>0</v>
      </c>
      <c r="AI78" s="38">
        <v>0</v>
      </c>
      <c r="AJ78" s="38">
        <v>3</v>
      </c>
      <c r="AK78" s="37">
        <v>2.2727272727272729</v>
      </c>
      <c r="AL78" s="40">
        <f t="shared" ref="AL78:AL141" si="4">Y78-AB78-AE78</f>
        <v>2</v>
      </c>
      <c r="AM78" s="37">
        <f t="shared" ref="AM78:AM141" si="5">(AL78/Y78)*100</f>
        <v>3.7735849056603774</v>
      </c>
      <c r="AN78" s="40">
        <f t="shared" ref="AN78:AN141" si="6">Z78-AC78-AF78</f>
        <v>1</v>
      </c>
      <c r="AO78" s="37">
        <f t="shared" ref="AO78:AO141" si="7">(AN78/Z78)*100</f>
        <v>1.2658227848101267</v>
      </c>
      <c r="AP78" s="38">
        <v>131</v>
      </c>
      <c r="AQ78" s="38">
        <v>56</v>
      </c>
      <c r="AR78" s="38">
        <v>75</v>
      </c>
      <c r="AS78" s="38">
        <v>40</v>
      </c>
      <c r="AT78" s="38">
        <v>17</v>
      </c>
      <c r="AU78" s="38">
        <v>23</v>
      </c>
      <c r="AV78" s="38">
        <v>35</v>
      </c>
      <c r="AW78" s="38">
        <v>12</v>
      </c>
      <c r="AX78" s="38">
        <v>23</v>
      </c>
      <c r="AY78" s="38">
        <v>136</v>
      </c>
      <c r="AZ78" s="38">
        <v>55</v>
      </c>
      <c r="BA78" s="38">
        <v>81</v>
      </c>
      <c r="BB78" s="38">
        <v>10</v>
      </c>
      <c r="BC78" s="37">
        <v>7.3529411764705888</v>
      </c>
      <c r="BD78" s="40">
        <v>4</v>
      </c>
      <c r="BE78" s="37">
        <v>7.2727272727272725</v>
      </c>
      <c r="BF78" s="40">
        <v>6</v>
      </c>
      <c r="BG78" s="37">
        <v>7.4074074074074066</v>
      </c>
      <c r="BH78" s="38">
        <v>35</v>
      </c>
      <c r="BI78" s="38">
        <v>38</v>
      </c>
      <c r="BJ78" s="38">
        <v>14</v>
      </c>
      <c r="BK78" s="38">
        <v>24</v>
      </c>
      <c r="BL78" s="37">
        <v>92.10526315789474</v>
      </c>
      <c r="BM78" s="37">
        <v>85.714285714285708</v>
      </c>
      <c r="BN78" s="37">
        <v>95.833333333333343</v>
      </c>
      <c r="BO78" s="38">
        <v>60</v>
      </c>
      <c r="BP78" s="38">
        <v>23</v>
      </c>
      <c r="BQ78" s="38">
        <v>37</v>
      </c>
      <c r="BR78" s="37">
        <v>58.333333333333336</v>
      </c>
      <c r="BS78" s="37">
        <v>52.173913043478258</v>
      </c>
      <c r="BT78" s="37">
        <v>62.162162162162161</v>
      </c>
      <c r="BU78" s="2"/>
      <c r="BV78" s="2"/>
    </row>
    <row r="79" spans="1:74" ht="15.75" x14ac:dyDescent="0.3">
      <c r="A79" s="2" t="s">
        <v>54</v>
      </c>
      <c r="B79" s="2" t="s">
        <v>55</v>
      </c>
      <c r="C79" s="2" t="s">
        <v>105</v>
      </c>
      <c r="D79" s="2" t="s">
        <v>57</v>
      </c>
      <c r="E79" s="2" t="s">
        <v>95</v>
      </c>
      <c r="F79" s="2" t="s">
        <v>106</v>
      </c>
      <c r="G79" s="2" t="s">
        <v>186</v>
      </c>
      <c r="H79" s="2" t="s">
        <v>260</v>
      </c>
      <c r="I79" s="2" t="s">
        <v>217</v>
      </c>
      <c r="J79" s="2" t="s">
        <v>415</v>
      </c>
      <c r="K79" s="2" t="s">
        <v>76</v>
      </c>
      <c r="L79" s="2" t="s">
        <v>320</v>
      </c>
      <c r="M79" s="2">
        <v>0</v>
      </c>
      <c r="N79" s="2" t="s">
        <v>416</v>
      </c>
      <c r="O79" s="2" t="s">
        <v>417</v>
      </c>
      <c r="P79" s="2" t="s">
        <v>80</v>
      </c>
      <c r="Q79" s="2" t="s">
        <v>135</v>
      </c>
      <c r="R79" s="2" t="s">
        <v>136</v>
      </c>
      <c r="S79" s="2" t="s">
        <v>418</v>
      </c>
      <c r="T79" s="2" t="s">
        <v>419</v>
      </c>
      <c r="U79" s="2" t="s">
        <v>420</v>
      </c>
      <c r="V79" s="2" t="s">
        <v>419</v>
      </c>
      <c r="W79" s="2" t="s">
        <v>74</v>
      </c>
      <c r="X79" s="38">
        <v>82</v>
      </c>
      <c r="Y79" s="38">
        <v>33</v>
      </c>
      <c r="Z79" s="38">
        <v>49</v>
      </c>
      <c r="AA79" s="38">
        <v>76</v>
      </c>
      <c r="AB79" s="38">
        <v>27</v>
      </c>
      <c r="AC79" s="38">
        <v>49</v>
      </c>
      <c r="AD79" s="38">
        <v>2</v>
      </c>
      <c r="AE79" s="38">
        <v>2</v>
      </c>
      <c r="AF79" s="38">
        <v>0</v>
      </c>
      <c r="AG79" s="38">
        <v>0</v>
      </c>
      <c r="AH79" s="38">
        <v>0</v>
      </c>
      <c r="AI79" s="38">
        <v>0</v>
      </c>
      <c r="AJ79" s="38">
        <v>4</v>
      </c>
      <c r="AK79" s="37">
        <v>4.8780487804878048</v>
      </c>
      <c r="AL79" s="40">
        <f t="shared" si="4"/>
        <v>4</v>
      </c>
      <c r="AM79" s="37">
        <f t="shared" si="5"/>
        <v>12.121212121212121</v>
      </c>
      <c r="AN79" s="40">
        <f t="shared" si="6"/>
        <v>0</v>
      </c>
      <c r="AO79" s="37">
        <f t="shared" si="7"/>
        <v>0</v>
      </c>
      <c r="AP79" s="38">
        <v>99</v>
      </c>
      <c r="AQ79" s="38">
        <v>46</v>
      </c>
      <c r="AR79" s="38">
        <v>53</v>
      </c>
      <c r="AS79" s="38">
        <v>39</v>
      </c>
      <c r="AT79" s="38">
        <v>21</v>
      </c>
      <c r="AU79" s="38">
        <v>18</v>
      </c>
      <c r="AV79" s="38">
        <v>20</v>
      </c>
      <c r="AW79" s="38">
        <v>5</v>
      </c>
      <c r="AX79" s="38">
        <v>15</v>
      </c>
      <c r="AY79" s="38">
        <v>85</v>
      </c>
      <c r="AZ79" s="38">
        <v>36</v>
      </c>
      <c r="BA79" s="38">
        <v>49</v>
      </c>
      <c r="BB79" s="38">
        <v>5</v>
      </c>
      <c r="BC79" s="37">
        <v>5.8823529411764701</v>
      </c>
      <c r="BD79" s="40">
        <v>6</v>
      </c>
      <c r="BE79" s="37">
        <v>16.666666666666664</v>
      </c>
      <c r="BF79" s="40">
        <v>-1</v>
      </c>
      <c r="BG79" s="37">
        <v>-2.0408163265306123</v>
      </c>
      <c r="BH79" s="38">
        <v>20</v>
      </c>
      <c r="BI79" s="38">
        <v>20</v>
      </c>
      <c r="BJ79" s="38">
        <v>5</v>
      </c>
      <c r="BK79" s="38">
        <v>15</v>
      </c>
      <c r="BL79" s="37">
        <v>100</v>
      </c>
      <c r="BM79" s="37">
        <v>100</v>
      </c>
      <c r="BN79" s="37">
        <v>100</v>
      </c>
      <c r="BO79" s="38">
        <v>30</v>
      </c>
      <c r="BP79" s="38">
        <v>11</v>
      </c>
      <c r="BQ79" s="38">
        <v>19</v>
      </c>
      <c r="BR79" s="37">
        <v>66.666666666666657</v>
      </c>
      <c r="BS79" s="37">
        <v>45.454545454545453</v>
      </c>
      <c r="BT79" s="37">
        <v>78.94736842105263</v>
      </c>
      <c r="BU79" s="2"/>
      <c r="BV79" s="2"/>
    </row>
    <row r="80" spans="1:74" ht="15.75" x14ac:dyDescent="0.3">
      <c r="A80" s="2" t="s">
        <v>54</v>
      </c>
      <c r="B80" s="2" t="s">
        <v>55</v>
      </c>
      <c r="C80" s="2" t="s">
        <v>105</v>
      </c>
      <c r="D80" s="2" t="s">
        <v>57</v>
      </c>
      <c r="E80" s="2" t="s">
        <v>95</v>
      </c>
      <c r="F80" s="2" t="s">
        <v>106</v>
      </c>
      <c r="G80" s="2" t="s">
        <v>186</v>
      </c>
      <c r="H80" s="2" t="s">
        <v>61</v>
      </c>
      <c r="I80" s="2" t="s">
        <v>217</v>
      </c>
      <c r="J80" s="2" t="s">
        <v>421</v>
      </c>
      <c r="K80" s="2" t="s">
        <v>76</v>
      </c>
      <c r="L80" s="2" t="s">
        <v>422</v>
      </c>
      <c r="M80" s="2">
        <v>0</v>
      </c>
      <c r="N80" s="2" t="s">
        <v>423</v>
      </c>
      <c r="O80" s="2" t="s">
        <v>424</v>
      </c>
      <c r="P80" s="2" t="s">
        <v>80</v>
      </c>
      <c r="Q80" s="2" t="s">
        <v>135</v>
      </c>
      <c r="R80" s="2" t="s">
        <v>136</v>
      </c>
      <c r="S80" s="2" t="s">
        <v>425</v>
      </c>
      <c r="T80" s="2" t="s">
        <v>426</v>
      </c>
      <c r="U80" s="2" t="s">
        <v>427</v>
      </c>
      <c r="V80" s="2" t="s">
        <v>426</v>
      </c>
      <c r="W80" s="2" t="s">
        <v>74</v>
      </c>
      <c r="X80" s="38">
        <v>47</v>
      </c>
      <c r="Y80" s="38">
        <v>21</v>
      </c>
      <c r="Z80" s="38">
        <v>26</v>
      </c>
      <c r="AA80" s="38">
        <v>46</v>
      </c>
      <c r="AB80" s="38">
        <v>21</v>
      </c>
      <c r="AC80" s="38">
        <v>25</v>
      </c>
      <c r="AD80" s="38">
        <v>0</v>
      </c>
      <c r="AE80" s="38">
        <v>0</v>
      </c>
      <c r="AF80" s="38">
        <v>0</v>
      </c>
      <c r="AG80" s="38">
        <v>0</v>
      </c>
      <c r="AH80" s="38">
        <v>0</v>
      </c>
      <c r="AI80" s="38">
        <v>0</v>
      </c>
      <c r="AJ80" s="38">
        <v>1</v>
      </c>
      <c r="AK80" s="37">
        <v>2.1276595744680851</v>
      </c>
      <c r="AL80" s="40">
        <f t="shared" si="4"/>
        <v>0</v>
      </c>
      <c r="AM80" s="37">
        <f t="shared" si="5"/>
        <v>0</v>
      </c>
      <c r="AN80" s="40">
        <f t="shared" si="6"/>
        <v>1</v>
      </c>
      <c r="AO80" s="37">
        <f t="shared" si="7"/>
        <v>3.8461538461538463</v>
      </c>
      <c r="AP80" s="38">
        <v>63</v>
      </c>
      <c r="AQ80" s="38">
        <v>29</v>
      </c>
      <c r="AR80" s="38">
        <v>34</v>
      </c>
      <c r="AS80" s="38">
        <v>31</v>
      </c>
      <c r="AT80" s="38">
        <v>14</v>
      </c>
      <c r="AU80" s="38">
        <v>17</v>
      </c>
      <c r="AV80" s="38">
        <v>13</v>
      </c>
      <c r="AW80" s="38">
        <v>5</v>
      </c>
      <c r="AX80" s="38">
        <v>8</v>
      </c>
      <c r="AY80" s="38">
        <v>48</v>
      </c>
      <c r="AZ80" s="38">
        <v>20</v>
      </c>
      <c r="BA80" s="38">
        <v>28</v>
      </c>
      <c r="BB80" s="38">
        <v>3</v>
      </c>
      <c r="BC80" s="37">
        <v>6.25</v>
      </c>
      <c r="BD80" s="40">
        <v>0</v>
      </c>
      <c r="BE80" s="37">
        <v>0</v>
      </c>
      <c r="BF80" s="40">
        <v>3</v>
      </c>
      <c r="BG80" s="37">
        <v>10.714285714285714</v>
      </c>
      <c r="BH80" s="38">
        <v>13</v>
      </c>
      <c r="BI80" s="38">
        <v>14</v>
      </c>
      <c r="BJ80" s="38">
        <v>5</v>
      </c>
      <c r="BK80" s="38">
        <v>9</v>
      </c>
      <c r="BL80" s="37">
        <v>92.857142857142861</v>
      </c>
      <c r="BM80" s="37">
        <v>100</v>
      </c>
      <c r="BN80" s="37">
        <v>88.888888888888886</v>
      </c>
      <c r="BO80" s="38">
        <v>21</v>
      </c>
      <c r="BP80" s="38">
        <v>9</v>
      </c>
      <c r="BQ80" s="38">
        <v>12</v>
      </c>
      <c r="BR80" s="37">
        <v>61.904761904761905</v>
      </c>
      <c r="BS80" s="37">
        <v>55.555555555555557</v>
      </c>
      <c r="BT80" s="37">
        <v>66.666666666666657</v>
      </c>
      <c r="BU80" s="2"/>
      <c r="BV80" s="2"/>
    </row>
    <row r="81" spans="1:74" ht="15.75" x14ac:dyDescent="0.3">
      <c r="A81" s="2" t="s">
        <v>54</v>
      </c>
      <c r="B81" s="2" t="s">
        <v>55</v>
      </c>
      <c r="C81" s="2" t="s">
        <v>105</v>
      </c>
      <c r="D81" s="2" t="s">
        <v>57</v>
      </c>
      <c r="E81" s="2" t="s">
        <v>95</v>
      </c>
      <c r="F81" s="2" t="s">
        <v>106</v>
      </c>
      <c r="G81" s="2" t="s">
        <v>186</v>
      </c>
      <c r="H81" s="2" t="s">
        <v>61</v>
      </c>
      <c r="I81" s="2" t="s">
        <v>403</v>
      </c>
      <c r="J81" s="2" t="s">
        <v>428</v>
      </c>
      <c r="K81" s="2" t="s">
        <v>76</v>
      </c>
      <c r="L81" s="2" t="s">
        <v>429</v>
      </c>
      <c r="M81" s="2">
        <v>0</v>
      </c>
      <c r="N81" s="2" t="s">
        <v>430</v>
      </c>
      <c r="O81" s="2" t="s">
        <v>424</v>
      </c>
      <c r="P81" s="2" t="s">
        <v>80</v>
      </c>
      <c r="Q81" s="2" t="s">
        <v>144</v>
      </c>
      <c r="R81" s="2" t="s">
        <v>145</v>
      </c>
      <c r="S81" s="2" t="s">
        <v>431</v>
      </c>
      <c r="T81" s="2" t="s">
        <v>432</v>
      </c>
      <c r="U81" s="2" t="s">
        <v>433</v>
      </c>
      <c r="V81" s="2" t="s">
        <v>432</v>
      </c>
      <c r="W81" s="2" t="s">
        <v>74</v>
      </c>
      <c r="X81" s="38">
        <v>99</v>
      </c>
      <c r="Y81" s="38">
        <v>40</v>
      </c>
      <c r="Z81" s="38">
        <v>59</v>
      </c>
      <c r="AA81" s="38">
        <v>98</v>
      </c>
      <c r="AB81" s="38">
        <v>39</v>
      </c>
      <c r="AC81" s="38">
        <v>59</v>
      </c>
      <c r="AD81" s="38">
        <v>0</v>
      </c>
      <c r="AE81" s="38">
        <v>0</v>
      </c>
      <c r="AF81" s="38">
        <v>0</v>
      </c>
      <c r="AG81" s="38">
        <v>0</v>
      </c>
      <c r="AH81" s="38">
        <v>0</v>
      </c>
      <c r="AI81" s="38">
        <v>0</v>
      </c>
      <c r="AJ81" s="38">
        <v>1</v>
      </c>
      <c r="AK81" s="37">
        <v>1.0101010101010102</v>
      </c>
      <c r="AL81" s="40">
        <f t="shared" si="4"/>
        <v>1</v>
      </c>
      <c r="AM81" s="37">
        <f t="shared" si="5"/>
        <v>2.5</v>
      </c>
      <c r="AN81" s="40">
        <f t="shared" si="6"/>
        <v>0</v>
      </c>
      <c r="AO81" s="37">
        <f t="shared" si="7"/>
        <v>0</v>
      </c>
      <c r="AP81" s="38">
        <v>109</v>
      </c>
      <c r="AQ81" s="38">
        <v>38</v>
      </c>
      <c r="AR81" s="38">
        <v>71</v>
      </c>
      <c r="AS81" s="38">
        <v>40</v>
      </c>
      <c r="AT81" s="38">
        <v>12</v>
      </c>
      <c r="AU81" s="38">
        <v>28</v>
      </c>
      <c r="AV81" s="38">
        <v>32</v>
      </c>
      <c r="AW81" s="38">
        <v>13</v>
      </c>
      <c r="AX81" s="38">
        <v>19</v>
      </c>
      <c r="AY81" s="38">
        <v>98</v>
      </c>
      <c r="AZ81" s="38">
        <v>40</v>
      </c>
      <c r="BA81" s="38">
        <v>58</v>
      </c>
      <c r="BB81" s="38">
        <v>-3</v>
      </c>
      <c r="BC81" s="37">
        <v>-3.0612244897959182</v>
      </c>
      <c r="BD81" s="40">
        <v>1</v>
      </c>
      <c r="BE81" s="37">
        <v>2.5</v>
      </c>
      <c r="BF81" s="40">
        <v>-4</v>
      </c>
      <c r="BG81" s="37">
        <v>-6.8965517241379306</v>
      </c>
      <c r="BH81" s="38">
        <v>32</v>
      </c>
      <c r="BI81" s="38">
        <v>32</v>
      </c>
      <c r="BJ81" s="38">
        <v>14</v>
      </c>
      <c r="BK81" s="38">
        <v>18</v>
      </c>
      <c r="BL81" s="37">
        <v>100</v>
      </c>
      <c r="BM81" s="37">
        <v>92.857142857142861</v>
      </c>
      <c r="BN81" s="37">
        <v>105.55555555555556</v>
      </c>
      <c r="BO81" s="38">
        <v>41</v>
      </c>
      <c r="BP81" s="38">
        <v>18</v>
      </c>
      <c r="BQ81" s="38">
        <v>23</v>
      </c>
      <c r="BR81" s="37">
        <v>78.048780487804876</v>
      </c>
      <c r="BS81" s="37">
        <v>72.222222222222214</v>
      </c>
      <c r="BT81" s="37">
        <v>82.608695652173907</v>
      </c>
      <c r="BU81" s="2"/>
      <c r="BV81" s="2"/>
    </row>
    <row r="82" spans="1:74" ht="15.75" x14ac:dyDescent="0.3">
      <c r="A82" s="2" t="s">
        <v>54</v>
      </c>
      <c r="B82" s="2" t="s">
        <v>55</v>
      </c>
      <c r="C82" s="2" t="s">
        <v>105</v>
      </c>
      <c r="D82" s="2" t="s">
        <v>57</v>
      </c>
      <c r="E82" s="2" t="s">
        <v>95</v>
      </c>
      <c r="F82" s="2" t="s">
        <v>106</v>
      </c>
      <c r="G82" s="2" t="s">
        <v>60</v>
      </c>
      <c r="H82" s="2" t="s">
        <v>61</v>
      </c>
      <c r="I82" s="2" t="s">
        <v>217</v>
      </c>
      <c r="J82" s="2" t="s">
        <v>217</v>
      </c>
      <c r="K82" s="2" t="s">
        <v>434</v>
      </c>
      <c r="L82" s="2" t="s">
        <v>435</v>
      </c>
      <c r="M82" s="2">
        <v>0</v>
      </c>
      <c r="N82" s="2" t="s">
        <v>436</v>
      </c>
      <c r="O82" s="2" t="s">
        <v>437</v>
      </c>
      <c r="P82" s="2" t="s">
        <v>80</v>
      </c>
      <c r="Q82" s="2" t="s">
        <v>135</v>
      </c>
      <c r="R82" s="2" t="s">
        <v>136</v>
      </c>
      <c r="S82" s="2" t="s">
        <v>438</v>
      </c>
      <c r="T82" s="2" t="s">
        <v>439</v>
      </c>
      <c r="U82" s="2" t="s">
        <v>440</v>
      </c>
      <c r="V82" s="2" t="s">
        <v>439</v>
      </c>
      <c r="W82" s="2" t="s">
        <v>74</v>
      </c>
      <c r="X82" s="38">
        <v>139</v>
      </c>
      <c r="Y82" s="38">
        <v>57</v>
      </c>
      <c r="Z82" s="38">
        <v>82</v>
      </c>
      <c r="AA82" s="38">
        <v>134</v>
      </c>
      <c r="AB82" s="38">
        <v>53</v>
      </c>
      <c r="AC82" s="38">
        <v>81</v>
      </c>
      <c r="AD82" s="38">
        <v>1</v>
      </c>
      <c r="AE82" s="38">
        <v>1</v>
      </c>
      <c r="AF82" s="38">
        <v>0</v>
      </c>
      <c r="AG82" s="38">
        <v>0</v>
      </c>
      <c r="AH82" s="38">
        <v>0</v>
      </c>
      <c r="AI82" s="38">
        <v>0</v>
      </c>
      <c r="AJ82" s="38">
        <v>4</v>
      </c>
      <c r="AK82" s="37">
        <v>2.877697841726619</v>
      </c>
      <c r="AL82" s="40">
        <f t="shared" si="4"/>
        <v>3</v>
      </c>
      <c r="AM82" s="37">
        <f t="shared" si="5"/>
        <v>5.2631578947368416</v>
      </c>
      <c r="AN82" s="40">
        <f t="shared" si="6"/>
        <v>1</v>
      </c>
      <c r="AO82" s="37">
        <f t="shared" si="7"/>
        <v>1.2195121951219512</v>
      </c>
      <c r="AP82" s="38">
        <v>131</v>
      </c>
      <c r="AQ82" s="38">
        <v>58</v>
      </c>
      <c r="AR82" s="38">
        <v>73</v>
      </c>
      <c r="AS82" s="38">
        <v>37</v>
      </c>
      <c r="AT82" s="38">
        <v>20</v>
      </c>
      <c r="AU82" s="38">
        <v>17</v>
      </c>
      <c r="AV82" s="38">
        <v>42</v>
      </c>
      <c r="AW82" s="38">
        <v>16</v>
      </c>
      <c r="AX82" s="38">
        <v>26</v>
      </c>
      <c r="AY82" s="38">
        <v>146</v>
      </c>
      <c r="AZ82" s="38">
        <v>63</v>
      </c>
      <c r="BA82" s="38">
        <v>83</v>
      </c>
      <c r="BB82" s="38">
        <v>10</v>
      </c>
      <c r="BC82" s="37">
        <v>6.8493150684931505</v>
      </c>
      <c r="BD82" s="40">
        <v>9</v>
      </c>
      <c r="BE82" s="37">
        <v>14.285714285714285</v>
      </c>
      <c r="BF82" s="40">
        <v>1</v>
      </c>
      <c r="BG82" s="37">
        <v>1.2048192771084338</v>
      </c>
      <c r="BH82" s="38">
        <v>42</v>
      </c>
      <c r="BI82" s="38">
        <v>43</v>
      </c>
      <c r="BJ82" s="38">
        <v>17</v>
      </c>
      <c r="BK82" s="38">
        <v>26</v>
      </c>
      <c r="BL82" s="37">
        <v>97.674418604651152</v>
      </c>
      <c r="BM82" s="37">
        <v>94.117647058823522</v>
      </c>
      <c r="BN82" s="37">
        <v>100</v>
      </c>
      <c r="BO82" s="38">
        <v>66</v>
      </c>
      <c r="BP82" s="38">
        <v>37</v>
      </c>
      <c r="BQ82" s="38">
        <v>29</v>
      </c>
      <c r="BR82" s="37">
        <v>63.636363636363633</v>
      </c>
      <c r="BS82" s="37">
        <v>43.243243243243242</v>
      </c>
      <c r="BT82" s="37">
        <v>89.65517241379311</v>
      </c>
      <c r="BU82" s="2"/>
      <c r="BV82" s="2"/>
    </row>
    <row r="83" spans="1:74" ht="15.75" x14ac:dyDescent="0.3">
      <c r="A83" s="2" t="s">
        <v>54</v>
      </c>
      <c r="B83" s="2" t="s">
        <v>55</v>
      </c>
      <c r="C83" s="2" t="s">
        <v>105</v>
      </c>
      <c r="D83" s="2" t="s">
        <v>57</v>
      </c>
      <c r="E83" s="2" t="s">
        <v>95</v>
      </c>
      <c r="F83" s="2" t="s">
        <v>106</v>
      </c>
      <c r="G83" s="2" t="s">
        <v>186</v>
      </c>
      <c r="H83" s="2" t="s">
        <v>187</v>
      </c>
      <c r="I83" s="2" t="s">
        <v>403</v>
      </c>
      <c r="J83" s="2" t="s">
        <v>441</v>
      </c>
      <c r="K83" s="2" t="s">
        <v>76</v>
      </c>
      <c r="L83" s="2" t="s">
        <v>442</v>
      </c>
      <c r="M83" s="2">
        <v>0</v>
      </c>
      <c r="N83" s="2" t="s">
        <v>443</v>
      </c>
      <c r="O83" s="2" t="s">
        <v>444</v>
      </c>
      <c r="P83" s="2" t="s">
        <v>80</v>
      </c>
      <c r="Q83" s="2" t="s">
        <v>144</v>
      </c>
      <c r="R83" s="2" t="s">
        <v>145</v>
      </c>
      <c r="S83" s="2" t="s">
        <v>445</v>
      </c>
      <c r="T83" s="2" t="s">
        <v>446</v>
      </c>
      <c r="U83" s="2" t="s">
        <v>447</v>
      </c>
      <c r="V83" s="2" t="s">
        <v>446</v>
      </c>
      <c r="W83" s="2" t="s">
        <v>74</v>
      </c>
      <c r="X83" s="38">
        <v>160</v>
      </c>
      <c r="Y83" s="38">
        <v>79</v>
      </c>
      <c r="Z83" s="38">
        <v>81</v>
      </c>
      <c r="AA83" s="38">
        <v>147</v>
      </c>
      <c r="AB83" s="38">
        <v>66</v>
      </c>
      <c r="AC83" s="38">
        <v>81</v>
      </c>
      <c r="AD83" s="38">
        <v>0</v>
      </c>
      <c r="AE83" s="38">
        <v>0</v>
      </c>
      <c r="AF83" s="38">
        <v>0</v>
      </c>
      <c r="AG83" s="38">
        <v>0</v>
      </c>
      <c r="AH83" s="38">
        <v>0</v>
      </c>
      <c r="AI83" s="38">
        <v>0</v>
      </c>
      <c r="AJ83" s="38">
        <v>13</v>
      </c>
      <c r="AK83" s="37">
        <v>8.125</v>
      </c>
      <c r="AL83" s="40">
        <f t="shared" si="4"/>
        <v>13</v>
      </c>
      <c r="AM83" s="37">
        <f t="shared" si="5"/>
        <v>16.455696202531644</v>
      </c>
      <c r="AN83" s="40">
        <f t="shared" si="6"/>
        <v>0</v>
      </c>
      <c r="AO83" s="37">
        <f t="shared" si="7"/>
        <v>0</v>
      </c>
      <c r="AP83" s="38">
        <v>169</v>
      </c>
      <c r="AQ83" s="38">
        <v>67</v>
      </c>
      <c r="AR83" s="38">
        <v>102</v>
      </c>
      <c r="AS83" s="38">
        <v>49</v>
      </c>
      <c r="AT83" s="38">
        <v>15</v>
      </c>
      <c r="AU83" s="38">
        <v>34</v>
      </c>
      <c r="AV83" s="38">
        <v>34</v>
      </c>
      <c r="AW83" s="38">
        <v>22</v>
      </c>
      <c r="AX83" s="38">
        <v>12</v>
      </c>
      <c r="AY83" s="38">
        <v>163</v>
      </c>
      <c r="AZ83" s="38">
        <v>80</v>
      </c>
      <c r="BA83" s="38">
        <v>83</v>
      </c>
      <c r="BB83" s="38">
        <v>9</v>
      </c>
      <c r="BC83" s="37">
        <v>5.5214723926380369</v>
      </c>
      <c r="BD83" s="40">
        <v>6</v>
      </c>
      <c r="BE83" s="37">
        <v>7.5</v>
      </c>
      <c r="BF83" s="40">
        <v>3</v>
      </c>
      <c r="BG83" s="37">
        <v>3.6144578313253009</v>
      </c>
      <c r="BH83" s="38">
        <v>34</v>
      </c>
      <c r="BI83" s="38">
        <v>34</v>
      </c>
      <c r="BJ83" s="38">
        <v>22</v>
      </c>
      <c r="BK83" s="38">
        <v>12</v>
      </c>
      <c r="BL83" s="37">
        <v>100</v>
      </c>
      <c r="BM83" s="37">
        <v>100</v>
      </c>
      <c r="BN83" s="37">
        <v>100</v>
      </c>
      <c r="BO83" s="38">
        <v>43</v>
      </c>
      <c r="BP83" s="38">
        <v>25</v>
      </c>
      <c r="BQ83" s="38">
        <v>18</v>
      </c>
      <c r="BR83" s="37">
        <v>79.069767441860463</v>
      </c>
      <c r="BS83" s="37">
        <v>88</v>
      </c>
      <c r="BT83" s="37">
        <v>66.666666666666657</v>
      </c>
      <c r="BU83" s="2"/>
      <c r="BV83" s="2"/>
    </row>
    <row r="84" spans="1:74" ht="15.75" x14ac:dyDescent="0.3">
      <c r="A84" s="2" t="s">
        <v>54</v>
      </c>
      <c r="B84" s="2" t="s">
        <v>55</v>
      </c>
      <c r="C84" s="2" t="s">
        <v>105</v>
      </c>
      <c r="D84" s="2" t="s">
        <v>57</v>
      </c>
      <c r="E84" s="2" t="s">
        <v>95</v>
      </c>
      <c r="F84" s="2" t="s">
        <v>106</v>
      </c>
      <c r="G84" s="2" t="s">
        <v>186</v>
      </c>
      <c r="H84" s="2" t="s">
        <v>260</v>
      </c>
      <c r="I84" s="2" t="s">
        <v>140</v>
      </c>
      <c r="J84" s="2" t="s">
        <v>448</v>
      </c>
      <c r="K84" s="2" t="s">
        <v>76</v>
      </c>
      <c r="L84" s="2" t="s">
        <v>320</v>
      </c>
      <c r="M84" s="2">
        <v>0</v>
      </c>
      <c r="N84" s="2" t="s">
        <v>449</v>
      </c>
      <c r="O84" s="2" t="s">
        <v>450</v>
      </c>
      <c r="P84" s="2" t="s">
        <v>80</v>
      </c>
      <c r="Q84" s="2" t="s">
        <v>144</v>
      </c>
      <c r="R84" s="2" t="s">
        <v>145</v>
      </c>
      <c r="S84" s="2" t="s">
        <v>451</v>
      </c>
      <c r="T84" s="2" t="s">
        <v>452</v>
      </c>
      <c r="U84" s="2" t="s">
        <v>453</v>
      </c>
      <c r="V84" s="2" t="s">
        <v>452</v>
      </c>
      <c r="W84" s="2" t="s">
        <v>74</v>
      </c>
      <c r="X84" s="38">
        <v>102</v>
      </c>
      <c r="Y84" s="38">
        <v>36</v>
      </c>
      <c r="Z84" s="38">
        <v>66</v>
      </c>
      <c r="AA84" s="38">
        <v>95</v>
      </c>
      <c r="AB84" s="38">
        <v>31</v>
      </c>
      <c r="AC84" s="38">
        <v>64</v>
      </c>
      <c r="AD84" s="38">
        <v>2</v>
      </c>
      <c r="AE84" s="38">
        <v>0</v>
      </c>
      <c r="AF84" s="38">
        <v>2</v>
      </c>
      <c r="AG84" s="38">
        <v>0</v>
      </c>
      <c r="AH84" s="38">
        <v>0</v>
      </c>
      <c r="AI84" s="38">
        <v>0</v>
      </c>
      <c r="AJ84" s="38">
        <v>5</v>
      </c>
      <c r="AK84" s="37">
        <v>4.9019607843137258</v>
      </c>
      <c r="AL84" s="40">
        <f t="shared" si="4"/>
        <v>5</v>
      </c>
      <c r="AM84" s="37">
        <f t="shared" si="5"/>
        <v>13.888888888888889</v>
      </c>
      <c r="AN84" s="40">
        <f t="shared" si="6"/>
        <v>0</v>
      </c>
      <c r="AO84" s="37">
        <f t="shared" si="7"/>
        <v>0</v>
      </c>
      <c r="AP84" s="38">
        <v>119</v>
      </c>
      <c r="AQ84" s="38">
        <v>41</v>
      </c>
      <c r="AR84" s="38">
        <v>78</v>
      </c>
      <c r="AS84" s="38">
        <v>44</v>
      </c>
      <c r="AT84" s="38">
        <v>17</v>
      </c>
      <c r="AU84" s="38">
        <v>27</v>
      </c>
      <c r="AV84" s="38">
        <v>23</v>
      </c>
      <c r="AW84" s="38">
        <v>8</v>
      </c>
      <c r="AX84" s="38">
        <v>15</v>
      </c>
      <c r="AY84" s="38">
        <v>104</v>
      </c>
      <c r="AZ84" s="38">
        <v>36</v>
      </c>
      <c r="BA84" s="38">
        <v>68</v>
      </c>
      <c r="BB84" s="38">
        <v>6</v>
      </c>
      <c r="BC84" s="37">
        <v>5.7692307692307692</v>
      </c>
      <c r="BD84" s="40">
        <v>4</v>
      </c>
      <c r="BE84" s="37">
        <v>11.111111111111111</v>
      </c>
      <c r="BF84" s="40">
        <v>2</v>
      </c>
      <c r="BG84" s="37">
        <v>2.9411764705882351</v>
      </c>
      <c r="BH84" s="38">
        <v>23</v>
      </c>
      <c r="BI84" s="38">
        <v>23</v>
      </c>
      <c r="BJ84" s="38">
        <v>8</v>
      </c>
      <c r="BK84" s="38">
        <v>15</v>
      </c>
      <c r="BL84" s="37">
        <v>100</v>
      </c>
      <c r="BM84" s="37">
        <v>100</v>
      </c>
      <c r="BN84" s="37">
        <v>100</v>
      </c>
      <c r="BO84" s="38">
        <v>26</v>
      </c>
      <c r="BP84" s="38">
        <v>12</v>
      </c>
      <c r="BQ84" s="38">
        <v>14</v>
      </c>
      <c r="BR84" s="37">
        <v>88.461538461538453</v>
      </c>
      <c r="BS84" s="37">
        <v>66.666666666666657</v>
      </c>
      <c r="BT84" s="37">
        <v>107.14285714285714</v>
      </c>
      <c r="BU84" s="2"/>
      <c r="BV84" s="2"/>
    </row>
    <row r="85" spans="1:74" ht="15.75" x14ac:dyDescent="0.3">
      <c r="A85" s="2" t="s">
        <v>54</v>
      </c>
      <c r="B85" s="2" t="s">
        <v>55</v>
      </c>
      <c r="C85" s="2" t="s">
        <v>105</v>
      </c>
      <c r="D85" s="2" t="s">
        <v>57</v>
      </c>
      <c r="E85" s="2" t="s">
        <v>95</v>
      </c>
      <c r="F85" s="2" t="s">
        <v>106</v>
      </c>
      <c r="G85" s="2" t="s">
        <v>186</v>
      </c>
      <c r="H85" s="2" t="s">
        <v>260</v>
      </c>
      <c r="I85" s="2" t="s">
        <v>150</v>
      </c>
      <c r="J85" s="2" t="s">
        <v>454</v>
      </c>
      <c r="K85" s="2" t="s">
        <v>76</v>
      </c>
      <c r="L85" s="2" t="s">
        <v>320</v>
      </c>
      <c r="M85" s="2">
        <v>0</v>
      </c>
      <c r="N85" s="2" t="s">
        <v>430</v>
      </c>
      <c r="O85" s="2" t="s">
        <v>455</v>
      </c>
      <c r="P85" s="2" t="s">
        <v>80</v>
      </c>
      <c r="Q85" s="2" t="s">
        <v>144</v>
      </c>
      <c r="R85" s="2" t="s">
        <v>145</v>
      </c>
      <c r="S85" s="2" t="s">
        <v>456</v>
      </c>
      <c r="T85" s="2" t="s">
        <v>457</v>
      </c>
      <c r="U85" s="2" t="s">
        <v>458</v>
      </c>
      <c r="V85" s="2" t="s">
        <v>457</v>
      </c>
      <c r="W85" s="2" t="s">
        <v>74</v>
      </c>
      <c r="X85" s="38">
        <v>231</v>
      </c>
      <c r="Y85" s="38">
        <v>87</v>
      </c>
      <c r="Z85" s="38">
        <v>144</v>
      </c>
      <c r="AA85" s="38">
        <v>131</v>
      </c>
      <c r="AB85" s="38">
        <v>39</v>
      </c>
      <c r="AC85" s="38">
        <v>92</v>
      </c>
      <c r="AD85" s="38">
        <v>58</v>
      </c>
      <c r="AE85" s="38">
        <v>24</v>
      </c>
      <c r="AF85" s="38">
        <v>34</v>
      </c>
      <c r="AG85" s="38">
        <v>0</v>
      </c>
      <c r="AH85" s="38">
        <v>0</v>
      </c>
      <c r="AI85" s="38">
        <v>0</v>
      </c>
      <c r="AJ85" s="38">
        <v>42</v>
      </c>
      <c r="AK85" s="37">
        <v>18.181818181818183</v>
      </c>
      <c r="AL85" s="40">
        <f t="shared" si="4"/>
        <v>24</v>
      </c>
      <c r="AM85" s="37">
        <f t="shared" si="5"/>
        <v>27.586206896551722</v>
      </c>
      <c r="AN85" s="40">
        <f t="shared" si="6"/>
        <v>18</v>
      </c>
      <c r="AO85" s="37">
        <f t="shared" si="7"/>
        <v>12.5</v>
      </c>
      <c r="AP85" s="38">
        <v>246</v>
      </c>
      <c r="AQ85" s="38">
        <v>104</v>
      </c>
      <c r="AR85" s="38">
        <v>142</v>
      </c>
      <c r="AS85" s="38">
        <v>80</v>
      </c>
      <c r="AT85" s="38">
        <v>40</v>
      </c>
      <c r="AU85" s="38">
        <v>40</v>
      </c>
      <c r="AV85" s="38">
        <v>53</v>
      </c>
      <c r="AW85" s="38">
        <v>16</v>
      </c>
      <c r="AX85" s="38">
        <v>37</v>
      </c>
      <c r="AY85" s="38">
        <v>232</v>
      </c>
      <c r="AZ85" s="38">
        <v>88</v>
      </c>
      <c r="BA85" s="38">
        <v>144</v>
      </c>
      <c r="BB85" s="38">
        <v>13</v>
      </c>
      <c r="BC85" s="37">
        <v>5.6034482758620694</v>
      </c>
      <c r="BD85" s="40">
        <v>8</v>
      </c>
      <c r="BE85" s="37">
        <v>9.0909090909090917</v>
      </c>
      <c r="BF85" s="40">
        <v>5</v>
      </c>
      <c r="BG85" s="37">
        <v>3.4722222222222223</v>
      </c>
      <c r="BH85" s="38">
        <v>53</v>
      </c>
      <c r="BI85" s="38">
        <v>57</v>
      </c>
      <c r="BJ85" s="38">
        <v>18</v>
      </c>
      <c r="BK85" s="38">
        <v>39</v>
      </c>
      <c r="BL85" s="37">
        <v>92.982456140350877</v>
      </c>
      <c r="BM85" s="37">
        <v>88.888888888888886</v>
      </c>
      <c r="BN85" s="37">
        <v>94.871794871794862</v>
      </c>
      <c r="BO85" s="38">
        <v>88</v>
      </c>
      <c r="BP85" s="38">
        <v>29</v>
      </c>
      <c r="BQ85" s="38">
        <v>59</v>
      </c>
      <c r="BR85" s="37">
        <v>60.227272727272727</v>
      </c>
      <c r="BS85" s="37">
        <v>55.172413793103445</v>
      </c>
      <c r="BT85" s="37">
        <v>62.711864406779661</v>
      </c>
      <c r="BU85" s="2"/>
      <c r="BV85" s="2"/>
    </row>
    <row r="86" spans="1:74" ht="15.75" x14ac:dyDescent="0.3">
      <c r="A86" s="2" t="s">
        <v>54</v>
      </c>
      <c r="B86" s="2" t="s">
        <v>55</v>
      </c>
      <c r="C86" s="2" t="s">
        <v>105</v>
      </c>
      <c r="D86" s="2" t="s">
        <v>57</v>
      </c>
      <c r="E86" s="2" t="s">
        <v>95</v>
      </c>
      <c r="F86" s="2" t="s">
        <v>106</v>
      </c>
      <c r="G86" s="2" t="s">
        <v>186</v>
      </c>
      <c r="H86" s="2" t="s">
        <v>187</v>
      </c>
      <c r="I86" s="2" t="s">
        <v>140</v>
      </c>
      <c r="J86" s="2" t="s">
        <v>459</v>
      </c>
      <c r="K86" s="2" t="s">
        <v>76</v>
      </c>
      <c r="L86" s="2" t="s">
        <v>320</v>
      </c>
      <c r="M86" s="2">
        <v>0</v>
      </c>
      <c r="N86" s="2" t="s">
        <v>460</v>
      </c>
      <c r="O86" s="2" t="s">
        <v>80</v>
      </c>
      <c r="P86" s="2" t="s">
        <v>80</v>
      </c>
      <c r="Q86" s="2" t="s">
        <v>144</v>
      </c>
      <c r="R86" s="2" t="s">
        <v>145</v>
      </c>
      <c r="S86" s="2" t="s">
        <v>461</v>
      </c>
      <c r="T86" s="2" t="s">
        <v>462</v>
      </c>
      <c r="U86" s="2" t="s">
        <v>463</v>
      </c>
      <c r="V86" s="2" t="s">
        <v>462</v>
      </c>
      <c r="W86" s="2" t="s">
        <v>74</v>
      </c>
      <c r="X86" s="38">
        <v>184</v>
      </c>
      <c r="Y86" s="38">
        <v>102</v>
      </c>
      <c r="Z86" s="38">
        <v>82</v>
      </c>
      <c r="AA86" s="38">
        <v>142</v>
      </c>
      <c r="AB86" s="38">
        <v>73</v>
      </c>
      <c r="AC86" s="38">
        <v>69</v>
      </c>
      <c r="AD86" s="38">
        <v>4</v>
      </c>
      <c r="AE86" s="38">
        <v>2</v>
      </c>
      <c r="AF86" s="38">
        <v>2</v>
      </c>
      <c r="AG86" s="38">
        <v>0</v>
      </c>
      <c r="AH86" s="38">
        <v>0</v>
      </c>
      <c r="AI86" s="38">
        <v>0</v>
      </c>
      <c r="AJ86" s="38">
        <v>38</v>
      </c>
      <c r="AK86" s="37">
        <v>20.652173913043477</v>
      </c>
      <c r="AL86" s="40">
        <f t="shared" si="4"/>
        <v>27</v>
      </c>
      <c r="AM86" s="37">
        <f t="shared" si="5"/>
        <v>26.47058823529412</v>
      </c>
      <c r="AN86" s="40">
        <f t="shared" si="6"/>
        <v>11</v>
      </c>
      <c r="AO86" s="37">
        <f t="shared" si="7"/>
        <v>13.414634146341465</v>
      </c>
      <c r="AP86" s="38">
        <v>208</v>
      </c>
      <c r="AQ86" s="38">
        <v>105</v>
      </c>
      <c r="AR86" s="38">
        <v>103</v>
      </c>
      <c r="AS86" s="38">
        <v>77</v>
      </c>
      <c r="AT86" s="38">
        <v>32</v>
      </c>
      <c r="AU86" s="38">
        <v>45</v>
      </c>
      <c r="AV86" s="38">
        <v>47</v>
      </c>
      <c r="AW86" s="38">
        <v>25</v>
      </c>
      <c r="AX86" s="38">
        <v>22</v>
      </c>
      <c r="AY86" s="38">
        <v>187</v>
      </c>
      <c r="AZ86" s="38">
        <v>103</v>
      </c>
      <c r="BA86" s="38">
        <v>84</v>
      </c>
      <c r="BB86" s="38">
        <v>9</v>
      </c>
      <c r="BC86" s="37">
        <v>4.8128342245989302</v>
      </c>
      <c r="BD86" s="40">
        <v>5</v>
      </c>
      <c r="BE86" s="37">
        <v>4.8543689320388346</v>
      </c>
      <c r="BF86" s="40">
        <v>4</v>
      </c>
      <c r="BG86" s="37">
        <v>4.7619047619047619</v>
      </c>
      <c r="BH86" s="38">
        <v>47</v>
      </c>
      <c r="BI86" s="38">
        <v>54</v>
      </c>
      <c r="BJ86" s="38">
        <v>28</v>
      </c>
      <c r="BK86" s="38">
        <v>26</v>
      </c>
      <c r="BL86" s="37">
        <v>87.037037037037038</v>
      </c>
      <c r="BM86" s="37">
        <v>89.285714285714292</v>
      </c>
      <c r="BN86" s="37">
        <v>84.615384615384613</v>
      </c>
      <c r="BO86" s="38">
        <v>66</v>
      </c>
      <c r="BP86" s="38">
        <v>31</v>
      </c>
      <c r="BQ86" s="38">
        <v>35</v>
      </c>
      <c r="BR86" s="37">
        <v>71.212121212121218</v>
      </c>
      <c r="BS86" s="37">
        <v>80.645161290322577</v>
      </c>
      <c r="BT86" s="37">
        <v>62.857142857142854</v>
      </c>
      <c r="BU86" s="2"/>
      <c r="BV86" s="2"/>
    </row>
    <row r="87" spans="1:74" ht="15.75" x14ac:dyDescent="0.3">
      <c r="A87" s="2" t="s">
        <v>54</v>
      </c>
      <c r="B87" s="2" t="s">
        <v>55</v>
      </c>
      <c r="C87" s="2" t="s">
        <v>105</v>
      </c>
      <c r="D87" s="2" t="s">
        <v>57</v>
      </c>
      <c r="E87" s="2" t="s">
        <v>95</v>
      </c>
      <c r="F87" s="2" t="s">
        <v>106</v>
      </c>
      <c r="G87" s="2" t="s">
        <v>186</v>
      </c>
      <c r="H87" s="2" t="s">
        <v>187</v>
      </c>
      <c r="I87" s="2" t="s">
        <v>130</v>
      </c>
      <c r="J87" s="2" t="s">
        <v>464</v>
      </c>
      <c r="K87" s="2" t="s">
        <v>76</v>
      </c>
      <c r="L87" s="2" t="s">
        <v>465</v>
      </c>
      <c r="M87" s="2">
        <v>0</v>
      </c>
      <c r="N87" s="2" t="s">
        <v>466</v>
      </c>
      <c r="O87" s="2" t="s">
        <v>80</v>
      </c>
      <c r="P87" s="2" t="s">
        <v>80</v>
      </c>
      <c r="Q87" s="2" t="s">
        <v>135</v>
      </c>
      <c r="R87" s="2" t="s">
        <v>136</v>
      </c>
      <c r="S87" s="2" t="s">
        <v>467</v>
      </c>
      <c r="T87" s="2" t="s">
        <v>468</v>
      </c>
      <c r="U87" s="2" t="s">
        <v>469</v>
      </c>
      <c r="V87" s="2" t="s">
        <v>468</v>
      </c>
      <c r="W87" s="2" t="s">
        <v>74</v>
      </c>
      <c r="X87" s="38">
        <v>52</v>
      </c>
      <c r="Y87" s="38">
        <v>27</v>
      </c>
      <c r="Z87" s="38">
        <v>25</v>
      </c>
      <c r="AA87" s="38">
        <v>52</v>
      </c>
      <c r="AB87" s="38">
        <v>27</v>
      </c>
      <c r="AC87" s="38">
        <v>25</v>
      </c>
      <c r="AD87" s="38">
        <v>0</v>
      </c>
      <c r="AE87" s="38">
        <v>0</v>
      </c>
      <c r="AF87" s="38">
        <v>0</v>
      </c>
      <c r="AG87" s="38">
        <v>0</v>
      </c>
      <c r="AH87" s="38">
        <v>0</v>
      </c>
      <c r="AI87" s="38">
        <v>0</v>
      </c>
      <c r="AJ87" s="38">
        <v>0</v>
      </c>
      <c r="AK87" s="37">
        <v>0</v>
      </c>
      <c r="AL87" s="40">
        <f t="shared" si="4"/>
        <v>0</v>
      </c>
      <c r="AM87" s="37">
        <f t="shared" si="5"/>
        <v>0</v>
      </c>
      <c r="AN87" s="40">
        <f t="shared" si="6"/>
        <v>0</v>
      </c>
      <c r="AO87" s="37">
        <f t="shared" si="7"/>
        <v>0</v>
      </c>
      <c r="AP87" s="38">
        <v>62</v>
      </c>
      <c r="AQ87" s="38">
        <v>35</v>
      </c>
      <c r="AR87" s="38">
        <v>27</v>
      </c>
      <c r="AS87" s="38">
        <v>21</v>
      </c>
      <c r="AT87" s="38">
        <v>13</v>
      </c>
      <c r="AU87" s="38">
        <v>8</v>
      </c>
      <c r="AV87" s="38">
        <v>11</v>
      </c>
      <c r="AW87" s="38">
        <v>5</v>
      </c>
      <c r="AX87" s="38">
        <v>6</v>
      </c>
      <c r="AY87" s="38">
        <v>54</v>
      </c>
      <c r="AZ87" s="38">
        <v>28</v>
      </c>
      <c r="BA87" s="38">
        <v>26</v>
      </c>
      <c r="BB87" s="38">
        <v>2</v>
      </c>
      <c r="BC87" s="37">
        <v>3.7037037037037033</v>
      </c>
      <c r="BD87" s="40">
        <v>1</v>
      </c>
      <c r="BE87" s="37">
        <v>3.5714285714285712</v>
      </c>
      <c r="BF87" s="40">
        <v>1</v>
      </c>
      <c r="BG87" s="37">
        <v>3.8461538461538463</v>
      </c>
      <c r="BH87" s="38">
        <v>11</v>
      </c>
      <c r="BI87" s="38">
        <v>11</v>
      </c>
      <c r="BJ87" s="38">
        <v>5</v>
      </c>
      <c r="BK87" s="38">
        <v>6</v>
      </c>
      <c r="BL87" s="37">
        <v>100</v>
      </c>
      <c r="BM87" s="37">
        <v>100</v>
      </c>
      <c r="BN87" s="37">
        <v>100</v>
      </c>
      <c r="BO87" s="38">
        <v>20</v>
      </c>
      <c r="BP87" s="38">
        <v>12</v>
      </c>
      <c r="BQ87" s="38">
        <v>8</v>
      </c>
      <c r="BR87" s="37">
        <v>55.000000000000007</v>
      </c>
      <c r="BS87" s="37">
        <v>41.666666666666671</v>
      </c>
      <c r="BT87" s="37">
        <v>75</v>
      </c>
      <c r="BU87" s="2"/>
      <c r="BV87" s="2"/>
    </row>
    <row r="88" spans="1:74" ht="15.75" x14ac:dyDescent="0.3">
      <c r="A88" s="2" t="s">
        <v>54</v>
      </c>
      <c r="B88" s="2" t="s">
        <v>55</v>
      </c>
      <c r="C88" s="2" t="s">
        <v>105</v>
      </c>
      <c r="D88" s="2" t="s">
        <v>57</v>
      </c>
      <c r="E88" s="2" t="s">
        <v>95</v>
      </c>
      <c r="F88" s="2" t="s">
        <v>106</v>
      </c>
      <c r="G88" s="2" t="s">
        <v>186</v>
      </c>
      <c r="H88" s="2" t="s">
        <v>260</v>
      </c>
      <c r="I88" s="2" t="s">
        <v>403</v>
      </c>
      <c r="J88" s="2" t="s">
        <v>470</v>
      </c>
      <c r="K88" s="2" t="s">
        <v>76</v>
      </c>
      <c r="L88" s="2" t="s">
        <v>320</v>
      </c>
      <c r="M88" s="2">
        <v>0</v>
      </c>
      <c r="N88" s="2" t="s">
        <v>471</v>
      </c>
      <c r="O88" s="2" t="s">
        <v>472</v>
      </c>
      <c r="P88" s="2" t="s">
        <v>80</v>
      </c>
      <c r="Q88" s="2" t="s">
        <v>144</v>
      </c>
      <c r="R88" s="2" t="s">
        <v>145</v>
      </c>
      <c r="S88" s="2" t="s">
        <v>473</v>
      </c>
      <c r="T88" s="2" t="s">
        <v>474</v>
      </c>
      <c r="U88" s="2" t="s">
        <v>475</v>
      </c>
      <c r="V88" s="2" t="s">
        <v>474</v>
      </c>
      <c r="W88" s="2" t="s">
        <v>74</v>
      </c>
      <c r="X88" s="38">
        <v>61</v>
      </c>
      <c r="Y88" s="38">
        <v>17</v>
      </c>
      <c r="Z88" s="38">
        <v>44</v>
      </c>
      <c r="AA88" s="38">
        <v>51</v>
      </c>
      <c r="AB88" s="38">
        <v>11</v>
      </c>
      <c r="AC88" s="38">
        <v>40</v>
      </c>
      <c r="AD88" s="38">
        <v>0</v>
      </c>
      <c r="AE88" s="38">
        <v>0</v>
      </c>
      <c r="AF88" s="38">
        <v>0</v>
      </c>
      <c r="AG88" s="38">
        <v>0</v>
      </c>
      <c r="AH88" s="38">
        <v>0</v>
      </c>
      <c r="AI88" s="38">
        <v>0</v>
      </c>
      <c r="AJ88" s="38">
        <v>10</v>
      </c>
      <c r="AK88" s="37">
        <v>16.393442622950818</v>
      </c>
      <c r="AL88" s="40">
        <f t="shared" si="4"/>
        <v>6</v>
      </c>
      <c r="AM88" s="37">
        <f t="shared" si="5"/>
        <v>35.294117647058826</v>
      </c>
      <c r="AN88" s="40">
        <f t="shared" si="6"/>
        <v>4</v>
      </c>
      <c r="AO88" s="37">
        <f t="shared" si="7"/>
        <v>9.0909090909090917</v>
      </c>
      <c r="AP88" s="38">
        <v>85</v>
      </c>
      <c r="AQ88" s="38">
        <v>26</v>
      </c>
      <c r="AR88" s="38">
        <v>59</v>
      </c>
      <c r="AS88" s="38">
        <v>38</v>
      </c>
      <c r="AT88" s="38">
        <v>12</v>
      </c>
      <c r="AU88" s="38">
        <v>26</v>
      </c>
      <c r="AV88" s="38">
        <v>14</v>
      </c>
      <c r="AW88" s="38">
        <v>3</v>
      </c>
      <c r="AX88" s="38">
        <v>11</v>
      </c>
      <c r="AY88" s="38">
        <v>69</v>
      </c>
      <c r="AZ88" s="38">
        <v>20</v>
      </c>
      <c r="BA88" s="38">
        <v>49</v>
      </c>
      <c r="BB88" s="38">
        <v>8</v>
      </c>
      <c r="BC88" s="37">
        <v>11.594202898550725</v>
      </c>
      <c r="BD88" s="40">
        <v>3</v>
      </c>
      <c r="BE88" s="37">
        <v>15</v>
      </c>
      <c r="BF88" s="40">
        <v>5</v>
      </c>
      <c r="BG88" s="37">
        <v>10.204081632653061</v>
      </c>
      <c r="BH88" s="38">
        <v>14</v>
      </c>
      <c r="BI88" s="38">
        <v>13</v>
      </c>
      <c r="BJ88" s="38">
        <v>3</v>
      </c>
      <c r="BK88" s="38">
        <v>10</v>
      </c>
      <c r="BL88" s="37">
        <v>107.69230769230769</v>
      </c>
      <c r="BM88" s="37">
        <v>100</v>
      </c>
      <c r="BN88" s="37">
        <v>110.00000000000001</v>
      </c>
      <c r="BO88" s="38">
        <v>27</v>
      </c>
      <c r="BP88" s="38">
        <v>8</v>
      </c>
      <c r="BQ88" s="38">
        <v>19</v>
      </c>
      <c r="BR88" s="37">
        <v>51.851851851851848</v>
      </c>
      <c r="BS88" s="37">
        <v>37.5</v>
      </c>
      <c r="BT88" s="37">
        <v>57.894736842105267</v>
      </c>
      <c r="BU88" s="2"/>
      <c r="BV88" s="2"/>
    </row>
    <row r="89" spans="1:74" ht="15.75" x14ac:dyDescent="0.3">
      <c r="A89" s="2" t="s">
        <v>54</v>
      </c>
      <c r="B89" s="2" t="s">
        <v>55</v>
      </c>
      <c r="C89" s="2" t="s">
        <v>105</v>
      </c>
      <c r="D89" s="2" t="s">
        <v>57</v>
      </c>
      <c r="E89" s="2" t="s">
        <v>95</v>
      </c>
      <c r="F89" s="2" t="s">
        <v>106</v>
      </c>
      <c r="G89" s="2" t="s">
        <v>186</v>
      </c>
      <c r="H89" s="2" t="s">
        <v>61</v>
      </c>
      <c r="I89" s="2" t="s">
        <v>140</v>
      </c>
      <c r="J89" s="2" t="s">
        <v>476</v>
      </c>
      <c r="K89" s="2" t="s">
        <v>477</v>
      </c>
      <c r="L89" s="2" t="s">
        <v>478</v>
      </c>
      <c r="M89" s="2">
        <v>0</v>
      </c>
      <c r="N89" s="2" t="s">
        <v>479</v>
      </c>
      <c r="O89" s="2" t="s">
        <v>80</v>
      </c>
      <c r="P89" s="2" t="s">
        <v>80</v>
      </c>
      <c r="Q89" s="2" t="s">
        <v>144</v>
      </c>
      <c r="R89" s="2" t="s">
        <v>145</v>
      </c>
      <c r="S89" s="2" t="s">
        <v>480</v>
      </c>
      <c r="T89" s="2" t="s">
        <v>481</v>
      </c>
      <c r="U89" s="2" t="s">
        <v>482</v>
      </c>
      <c r="V89" s="2" t="s">
        <v>481</v>
      </c>
      <c r="W89" s="2" t="s">
        <v>74</v>
      </c>
      <c r="X89" s="38">
        <v>127</v>
      </c>
      <c r="Y89" s="38">
        <v>53</v>
      </c>
      <c r="Z89" s="38">
        <v>74</v>
      </c>
      <c r="AA89" s="38">
        <v>126</v>
      </c>
      <c r="AB89" s="38">
        <v>53</v>
      </c>
      <c r="AC89" s="38">
        <v>73</v>
      </c>
      <c r="AD89" s="38">
        <v>1</v>
      </c>
      <c r="AE89" s="38">
        <v>0</v>
      </c>
      <c r="AF89" s="38">
        <v>1</v>
      </c>
      <c r="AG89" s="38">
        <v>0</v>
      </c>
      <c r="AH89" s="38">
        <v>0</v>
      </c>
      <c r="AI89" s="38">
        <v>0</v>
      </c>
      <c r="AJ89" s="38">
        <v>0</v>
      </c>
      <c r="AK89" s="37">
        <v>0</v>
      </c>
      <c r="AL89" s="40">
        <f t="shared" si="4"/>
        <v>0</v>
      </c>
      <c r="AM89" s="37">
        <f t="shared" si="5"/>
        <v>0</v>
      </c>
      <c r="AN89" s="40">
        <f t="shared" si="6"/>
        <v>0</v>
      </c>
      <c r="AO89" s="37">
        <f t="shared" si="7"/>
        <v>0</v>
      </c>
      <c r="AP89" s="38">
        <v>151</v>
      </c>
      <c r="AQ89" s="38">
        <v>69</v>
      </c>
      <c r="AR89" s="38">
        <v>82</v>
      </c>
      <c r="AS89" s="38">
        <v>65</v>
      </c>
      <c r="AT89" s="38">
        <v>32</v>
      </c>
      <c r="AU89" s="38">
        <v>33</v>
      </c>
      <c r="AV89" s="38">
        <v>36</v>
      </c>
      <c r="AW89" s="38">
        <v>16</v>
      </c>
      <c r="AX89" s="38">
        <v>20</v>
      </c>
      <c r="AY89" s="38">
        <v>128</v>
      </c>
      <c r="AZ89" s="38">
        <v>54</v>
      </c>
      <c r="BA89" s="38">
        <v>74</v>
      </c>
      <c r="BB89" s="38">
        <v>6</v>
      </c>
      <c r="BC89" s="37">
        <v>4.6875</v>
      </c>
      <c r="BD89" s="40">
        <v>1</v>
      </c>
      <c r="BE89" s="37">
        <v>1.8518518518518516</v>
      </c>
      <c r="BF89" s="40">
        <v>5</v>
      </c>
      <c r="BG89" s="37">
        <v>6.756756756756757</v>
      </c>
      <c r="BH89" s="38">
        <v>36</v>
      </c>
      <c r="BI89" s="38">
        <v>35</v>
      </c>
      <c r="BJ89" s="38">
        <v>15</v>
      </c>
      <c r="BK89" s="38">
        <v>20</v>
      </c>
      <c r="BL89" s="37">
        <v>102.85714285714285</v>
      </c>
      <c r="BM89" s="37">
        <v>106.66666666666667</v>
      </c>
      <c r="BN89" s="37">
        <v>100</v>
      </c>
      <c r="BO89" s="38">
        <v>42</v>
      </c>
      <c r="BP89" s="38">
        <v>17</v>
      </c>
      <c r="BQ89" s="38">
        <v>25</v>
      </c>
      <c r="BR89" s="37">
        <v>85.714285714285708</v>
      </c>
      <c r="BS89" s="37">
        <v>94.117647058823522</v>
      </c>
      <c r="BT89" s="37">
        <v>80</v>
      </c>
      <c r="BU89" s="2"/>
      <c r="BV89" s="2"/>
    </row>
    <row r="90" spans="1:74" ht="15.75" x14ac:dyDescent="0.3">
      <c r="A90" s="2" t="s">
        <v>54</v>
      </c>
      <c r="B90" s="2" t="s">
        <v>55</v>
      </c>
      <c r="C90" s="2" t="s">
        <v>105</v>
      </c>
      <c r="D90" s="2" t="s">
        <v>57</v>
      </c>
      <c r="E90" s="2" t="s">
        <v>95</v>
      </c>
      <c r="F90" s="2" t="s">
        <v>106</v>
      </c>
      <c r="G90" s="2" t="s">
        <v>186</v>
      </c>
      <c r="H90" s="2" t="s">
        <v>187</v>
      </c>
      <c r="I90" s="2" t="s">
        <v>114</v>
      </c>
      <c r="J90" s="2" t="s">
        <v>483</v>
      </c>
      <c r="K90" s="2" t="s">
        <v>76</v>
      </c>
      <c r="L90" s="2" t="s">
        <v>484</v>
      </c>
      <c r="M90" s="2">
        <v>72</v>
      </c>
      <c r="N90" s="2" t="s">
        <v>485</v>
      </c>
      <c r="O90" s="2" t="s">
        <v>80</v>
      </c>
      <c r="P90" s="2" t="s">
        <v>80</v>
      </c>
      <c r="Q90" s="2" t="s">
        <v>90</v>
      </c>
      <c r="R90" s="2" t="s">
        <v>91</v>
      </c>
      <c r="S90" s="2" t="s">
        <v>486</v>
      </c>
      <c r="T90" s="2" t="s">
        <v>487</v>
      </c>
      <c r="U90" s="2" t="s">
        <v>488</v>
      </c>
      <c r="V90" s="2" t="s">
        <v>487</v>
      </c>
      <c r="W90" s="2" t="s">
        <v>74</v>
      </c>
      <c r="X90" s="38">
        <v>120</v>
      </c>
      <c r="Y90" s="38">
        <v>60</v>
      </c>
      <c r="Z90" s="38">
        <v>60</v>
      </c>
      <c r="AA90" s="38">
        <v>98</v>
      </c>
      <c r="AB90" s="38">
        <v>46</v>
      </c>
      <c r="AC90" s="38">
        <v>52</v>
      </c>
      <c r="AD90" s="38">
        <v>2</v>
      </c>
      <c r="AE90" s="38">
        <v>1</v>
      </c>
      <c r="AF90" s="38">
        <v>1</v>
      </c>
      <c r="AG90" s="38">
        <v>0</v>
      </c>
      <c r="AH90" s="38">
        <v>0</v>
      </c>
      <c r="AI90" s="38">
        <v>0</v>
      </c>
      <c r="AJ90" s="38">
        <v>20</v>
      </c>
      <c r="AK90" s="37">
        <v>16.666666666666664</v>
      </c>
      <c r="AL90" s="40">
        <f t="shared" si="4"/>
        <v>13</v>
      </c>
      <c r="AM90" s="37">
        <f t="shared" si="5"/>
        <v>21.666666666666668</v>
      </c>
      <c r="AN90" s="40">
        <f t="shared" si="6"/>
        <v>7</v>
      </c>
      <c r="AO90" s="37">
        <f t="shared" si="7"/>
        <v>11.666666666666666</v>
      </c>
      <c r="AP90" s="38">
        <v>155</v>
      </c>
      <c r="AQ90" s="38">
        <v>71</v>
      </c>
      <c r="AR90" s="38">
        <v>84</v>
      </c>
      <c r="AS90" s="38">
        <v>71</v>
      </c>
      <c r="AT90" s="38">
        <v>28</v>
      </c>
      <c r="AU90" s="38">
        <v>43</v>
      </c>
      <c r="AV90" s="38">
        <v>30</v>
      </c>
      <c r="AW90" s="38">
        <v>13</v>
      </c>
      <c r="AX90" s="38">
        <v>17</v>
      </c>
      <c r="AY90" s="38">
        <v>135</v>
      </c>
      <c r="AZ90" s="38">
        <v>69</v>
      </c>
      <c r="BA90" s="38">
        <v>66</v>
      </c>
      <c r="BB90" s="38">
        <v>21</v>
      </c>
      <c r="BC90" s="37">
        <v>15.555555555555555</v>
      </c>
      <c r="BD90" s="40">
        <v>13</v>
      </c>
      <c r="BE90" s="37">
        <v>18.840579710144929</v>
      </c>
      <c r="BF90" s="40">
        <v>8</v>
      </c>
      <c r="BG90" s="37">
        <v>12.121212121212121</v>
      </c>
      <c r="BH90" s="38">
        <v>30</v>
      </c>
      <c r="BI90" s="38">
        <v>31</v>
      </c>
      <c r="BJ90" s="38">
        <v>13</v>
      </c>
      <c r="BK90" s="38">
        <v>18</v>
      </c>
      <c r="BL90" s="37">
        <v>96.774193548387103</v>
      </c>
      <c r="BM90" s="37">
        <v>100</v>
      </c>
      <c r="BN90" s="37">
        <v>94.444444444444443</v>
      </c>
      <c r="BO90" s="38">
        <v>46</v>
      </c>
      <c r="BP90" s="38">
        <v>19</v>
      </c>
      <c r="BQ90" s="38">
        <v>27</v>
      </c>
      <c r="BR90" s="37">
        <v>65.217391304347828</v>
      </c>
      <c r="BS90" s="37">
        <v>68.421052631578945</v>
      </c>
      <c r="BT90" s="37">
        <v>62.962962962962962</v>
      </c>
      <c r="BU90" s="2"/>
      <c r="BV90" s="2"/>
    </row>
    <row r="91" spans="1:74" ht="15.75" x14ac:dyDescent="0.3">
      <c r="A91" s="2" t="s">
        <v>54</v>
      </c>
      <c r="B91" s="2" t="s">
        <v>55</v>
      </c>
      <c r="C91" s="2" t="s">
        <v>105</v>
      </c>
      <c r="D91" s="2" t="s">
        <v>57</v>
      </c>
      <c r="E91" s="2" t="s">
        <v>95</v>
      </c>
      <c r="F91" s="2" t="s">
        <v>106</v>
      </c>
      <c r="G91" s="2" t="s">
        <v>186</v>
      </c>
      <c r="H91" s="2" t="s">
        <v>187</v>
      </c>
      <c r="I91" s="2" t="s">
        <v>130</v>
      </c>
      <c r="J91" s="2" t="s">
        <v>489</v>
      </c>
      <c r="K91" s="2" t="s">
        <v>76</v>
      </c>
      <c r="L91" s="2" t="s">
        <v>320</v>
      </c>
      <c r="M91" s="2">
        <v>0</v>
      </c>
      <c r="N91" s="2" t="s">
        <v>490</v>
      </c>
      <c r="O91" s="2" t="s">
        <v>80</v>
      </c>
      <c r="P91" s="2" t="s">
        <v>80</v>
      </c>
      <c r="Q91" s="2" t="s">
        <v>135</v>
      </c>
      <c r="R91" s="2" t="s">
        <v>136</v>
      </c>
      <c r="S91" s="2" t="s">
        <v>491</v>
      </c>
      <c r="T91" s="2" t="s">
        <v>492</v>
      </c>
      <c r="U91" s="2" t="s">
        <v>493</v>
      </c>
      <c r="V91" s="2" t="s">
        <v>492</v>
      </c>
      <c r="W91" s="2" t="s">
        <v>74</v>
      </c>
      <c r="X91" s="38">
        <v>53</v>
      </c>
      <c r="Y91" s="38">
        <v>26</v>
      </c>
      <c r="Z91" s="38">
        <v>27</v>
      </c>
      <c r="AA91" s="38">
        <v>47</v>
      </c>
      <c r="AB91" s="38">
        <v>21</v>
      </c>
      <c r="AC91" s="38">
        <v>26</v>
      </c>
      <c r="AD91" s="38">
        <v>0</v>
      </c>
      <c r="AE91" s="38">
        <v>0</v>
      </c>
      <c r="AF91" s="38">
        <v>0</v>
      </c>
      <c r="AG91" s="38">
        <v>0</v>
      </c>
      <c r="AH91" s="38">
        <v>0</v>
      </c>
      <c r="AI91" s="38">
        <v>0</v>
      </c>
      <c r="AJ91" s="38">
        <v>6</v>
      </c>
      <c r="AK91" s="37">
        <v>11.320754716981133</v>
      </c>
      <c r="AL91" s="40">
        <f t="shared" si="4"/>
        <v>5</v>
      </c>
      <c r="AM91" s="37">
        <f t="shared" si="5"/>
        <v>19.230769230769234</v>
      </c>
      <c r="AN91" s="40">
        <f t="shared" si="6"/>
        <v>1</v>
      </c>
      <c r="AO91" s="37">
        <f t="shared" si="7"/>
        <v>3.7037037037037033</v>
      </c>
      <c r="AP91" s="38">
        <v>56</v>
      </c>
      <c r="AQ91" s="38">
        <v>27</v>
      </c>
      <c r="AR91" s="38">
        <v>29</v>
      </c>
      <c r="AS91" s="38">
        <v>12</v>
      </c>
      <c r="AT91" s="38">
        <v>6</v>
      </c>
      <c r="AU91" s="38">
        <v>6</v>
      </c>
      <c r="AV91" s="38">
        <v>9</v>
      </c>
      <c r="AW91" s="38">
        <v>4</v>
      </c>
      <c r="AX91" s="38">
        <v>5</v>
      </c>
      <c r="AY91" s="38">
        <v>58</v>
      </c>
      <c r="AZ91" s="38">
        <v>28</v>
      </c>
      <c r="BA91" s="38">
        <v>30</v>
      </c>
      <c r="BB91" s="38">
        <v>5</v>
      </c>
      <c r="BC91" s="37">
        <v>8.6206896551724146</v>
      </c>
      <c r="BD91" s="40">
        <v>3</v>
      </c>
      <c r="BE91" s="37">
        <v>10.714285714285714</v>
      </c>
      <c r="BF91" s="40">
        <v>2</v>
      </c>
      <c r="BG91" s="37">
        <v>6.666666666666667</v>
      </c>
      <c r="BH91" s="38">
        <v>9</v>
      </c>
      <c r="BI91" s="38">
        <v>9</v>
      </c>
      <c r="BJ91" s="38">
        <v>4</v>
      </c>
      <c r="BK91" s="38">
        <v>5</v>
      </c>
      <c r="BL91" s="37">
        <v>100</v>
      </c>
      <c r="BM91" s="37">
        <v>100</v>
      </c>
      <c r="BN91" s="37">
        <v>100</v>
      </c>
      <c r="BO91" s="38">
        <v>17</v>
      </c>
      <c r="BP91" s="38">
        <v>7</v>
      </c>
      <c r="BQ91" s="38">
        <v>10</v>
      </c>
      <c r="BR91" s="37">
        <v>52.941176470588239</v>
      </c>
      <c r="BS91" s="37">
        <v>57.142857142857139</v>
      </c>
      <c r="BT91" s="37">
        <v>50</v>
      </c>
      <c r="BU91" s="2"/>
      <c r="BV91" s="2"/>
    </row>
    <row r="92" spans="1:74" ht="15.75" x14ac:dyDescent="0.3">
      <c r="A92" s="2" t="s">
        <v>54</v>
      </c>
      <c r="B92" s="2" t="s">
        <v>55</v>
      </c>
      <c r="C92" s="2" t="s">
        <v>105</v>
      </c>
      <c r="D92" s="2" t="s">
        <v>57</v>
      </c>
      <c r="E92" s="2" t="s">
        <v>95</v>
      </c>
      <c r="F92" s="2" t="s">
        <v>106</v>
      </c>
      <c r="G92" s="2" t="s">
        <v>186</v>
      </c>
      <c r="H92" s="2" t="s">
        <v>260</v>
      </c>
      <c r="I92" s="2" t="s">
        <v>210</v>
      </c>
      <c r="J92" s="2" t="s">
        <v>494</v>
      </c>
      <c r="K92" s="2" t="s">
        <v>76</v>
      </c>
      <c r="L92" s="2" t="s">
        <v>495</v>
      </c>
      <c r="M92" s="2">
        <v>0</v>
      </c>
      <c r="N92" s="2" t="s">
        <v>496</v>
      </c>
      <c r="O92" s="2" t="s">
        <v>80</v>
      </c>
      <c r="P92" s="2" t="s">
        <v>80</v>
      </c>
      <c r="Q92" s="2" t="s">
        <v>144</v>
      </c>
      <c r="R92" s="2" t="s">
        <v>145</v>
      </c>
      <c r="S92" s="2" t="s">
        <v>497</v>
      </c>
      <c r="T92" s="2" t="s">
        <v>498</v>
      </c>
      <c r="U92" s="2" t="s">
        <v>499</v>
      </c>
      <c r="V92" s="2" t="s">
        <v>498</v>
      </c>
      <c r="W92" s="2" t="s">
        <v>74</v>
      </c>
      <c r="X92" s="38">
        <v>49</v>
      </c>
      <c r="Y92" s="38">
        <v>21</v>
      </c>
      <c r="Z92" s="38">
        <v>28</v>
      </c>
      <c r="AA92" s="38">
        <v>48</v>
      </c>
      <c r="AB92" s="38">
        <v>20</v>
      </c>
      <c r="AC92" s="38">
        <v>28</v>
      </c>
      <c r="AD92" s="38">
        <v>0</v>
      </c>
      <c r="AE92" s="38">
        <v>0</v>
      </c>
      <c r="AF92" s="38">
        <v>0</v>
      </c>
      <c r="AG92" s="38">
        <v>0</v>
      </c>
      <c r="AH92" s="38">
        <v>0</v>
      </c>
      <c r="AI92" s="38">
        <v>0</v>
      </c>
      <c r="AJ92" s="38">
        <v>1</v>
      </c>
      <c r="AK92" s="37">
        <v>2.0408163265306123</v>
      </c>
      <c r="AL92" s="40">
        <f t="shared" si="4"/>
        <v>1</v>
      </c>
      <c r="AM92" s="37">
        <f t="shared" si="5"/>
        <v>4.7619047619047619</v>
      </c>
      <c r="AN92" s="40">
        <f t="shared" si="6"/>
        <v>0</v>
      </c>
      <c r="AO92" s="37">
        <f t="shared" si="7"/>
        <v>0</v>
      </c>
      <c r="AP92" s="38">
        <v>51</v>
      </c>
      <c r="AQ92" s="38">
        <v>16</v>
      </c>
      <c r="AR92" s="38">
        <v>35</v>
      </c>
      <c r="AS92" s="38">
        <v>19</v>
      </c>
      <c r="AT92" s="38">
        <v>6</v>
      </c>
      <c r="AU92" s="38">
        <v>13</v>
      </c>
      <c r="AV92" s="38">
        <v>16</v>
      </c>
      <c r="AW92" s="38">
        <v>10</v>
      </c>
      <c r="AX92" s="38">
        <v>6</v>
      </c>
      <c r="AY92" s="38">
        <v>50</v>
      </c>
      <c r="AZ92" s="38">
        <v>22</v>
      </c>
      <c r="BA92" s="38">
        <v>28</v>
      </c>
      <c r="BB92" s="38">
        <v>2</v>
      </c>
      <c r="BC92" s="37">
        <v>4</v>
      </c>
      <c r="BD92" s="40">
        <v>2</v>
      </c>
      <c r="BE92" s="37">
        <v>9.0909090909090917</v>
      </c>
      <c r="BF92" s="40">
        <v>0</v>
      </c>
      <c r="BG92" s="37">
        <v>0</v>
      </c>
      <c r="BH92" s="38">
        <v>16</v>
      </c>
      <c r="BI92" s="38">
        <v>16</v>
      </c>
      <c r="BJ92" s="38">
        <v>10</v>
      </c>
      <c r="BK92" s="38">
        <v>6</v>
      </c>
      <c r="BL92" s="37">
        <v>100</v>
      </c>
      <c r="BM92" s="37">
        <v>100</v>
      </c>
      <c r="BN92" s="37">
        <v>100</v>
      </c>
      <c r="BO92" s="38">
        <v>20</v>
      </c>
      <c r="BP92" s="38">
        <v>11</v>
      </c>
      <c r="BQ92" s="38">
        <v>9</v>
      </c>
      <c r="BR92" s="37">
        <v>80</v>
      </c>
      <c r="BS92" s="37">
        <v>90.909090909090907</v>
      </c>
      <c r="BT92" s="37">
        <v>66.666666666666657</v>
      </c>
      <c r="BU92" s="2"/>
      <c r="BV92" s="2"/>
    </row>
    <row r="93" spans="1:74" ht="15.75" x14ac:dyDescent="0.3">
      <c r="A93" s="2" t="s">
        <v>54</v>
      </c>
      <c r="B93" s="2" t="s">
        <v>55</v>
      </c>
      <c r="C93" s="2" t="s">
        <v>105</v>
      </c>
      <c r="D93" s="2" t="s">
        <v>57</v>
      </c>
      <c r="E93" s="2" t="s">
        <v>95</v>
      </c>
      <c r="F93" s="2" t="s">
        <v>106</v>
      </c>
      <c r="G93" s="2" t="s">
        <v>60</v>
      </c>
      <c r="H93" s="2" t="s">
        <v>61</v>
      </c>
      <c r="I93" s="2" t="s">
        <v>500</v>
      </c>
      <c r="J93" s="2" t="s">
        <v>501</v>
      </c>
      <c r="K93" s="2" t="s">
        <v>76</v>
      </c>
      <c r="L93" s="2" t="s">
        <v>320</v>
      </c>
      <c r="M93" s="2">
        <v>0</v>
      </c>
      <c r="N93" s="2" t="s">
        <v>502</v>
      </c>
      <c r="O93" s="2" t="s">
        <v>80</v>
      </c>
      <c r="P93" s="2" t="s">
        <v>80</v>
      </c>
      <c r="Q93" s="2" t="s">
        <v>90</v>
      </c>
      <c r="R93" s="2" t="s">
        <v>91</v>
      </c>
      <c r="S93" s="2" t="s">
        <v>503</v>
      </c>
      <c r="T93" s="2" t="s">
        <v>504</v>
      </c>
      <c r="U93" s="2" t="s">
        <v>505</v>
      </c>
      <c r="V93" s="2" t="s">
        <v>504</v>
      </c>
      <c r="W93" s="2" t="s">
        <v>74</v>
      </c>
      <c r="X93" s="38">
        <v>226</v>
      </c>
      <c r="Y93" s="38">
        <v>89</v>
      </c>
      <c r="Z93" s="38">
        <v>137</v>
      </c>
      <c r="AA93" s="38">
        <v>174</v>
      </c>
      <c r="AB93" s="38">
        <v>59</v>
      </c>
      <c r="AC93" s="38">
        <v>115</v>
      </c>
      <c r="AD93" s="38">
        <v>14</v>
      </c>
      <c r="AE93" s="38">
        <v>11</v>
      </c>
      <c r="AF93" s="38">
        <v>3</v>
      </c>
      <c r="AG93" s="38">
        <v>0</v>
      </c>
      <c r="AH93" s="38">
        <v>0</v>
      </c>
      <c r="AI93" s="38">
        <v>0</v>
      </c>
      <c r="AJ93" s="38">
        <v>38</v>
      </c>
      <c r="AK93" s="37">
        <v>16.814159292035399</v>
      </c>
      <c r="AL93" s="40">
        <f t="shared" si="4"/>
        <v>19</v>
      </c>
      <c r="AM93" s="37">
        <f t="shared" si="5"/>
        <v>21.348314606741571</v>
      </c>
      <c r="AN93" s="40">
        <f t="shared" si="6"/>
        <v>19</v>
      </c>
      <c r="AO93" s="37">
        <f t="shared" si="7"/>
        <v>13.868613138686131</v>
      </c>
      <c r="AP93" s="38">
        <v>253</v>
      </c>
      <c r="AQ93" s="38">
        <v>105</v>
      </c>
      <c r="AR93" s="38">
        <v>148</v>
      </c>
      <c r="AS93" s="38">
        <v>98</v>
      </c>
      <c r="AT93" s="38">
        <v>47</v>
      </c>
      <c r="AU93" s="38">
        <v>51</v>
      </c>
      <c r="AV93" s="38">
        <v>51</v>
      </c>
      <c r="AW93" s="38">
        <v>20</v>
      </c>
      <c r="AX93" s="38">
        <v>31</v>
      </c>
      <c r="AY93" s="38">
        <v>231</v>
      </c>
      <c r="AZ93" s="38">
        <v>93</v>
      </c>
      <c r="BA93" s="38">
        <v>138</v>
      </c>
      <c r="BB93" s="38">
        <v>25</v>
      </c>
      <c r="BC93" s="37">
        <v>10.822510822510822</v>
      </c>
      <c r="BD93" s="40">
        <v>15</v>
      </c>
      <c r="BE93" s="37">
        <v>16.129032258064516</v>
      </c>
      <c r="BF93" s="40">
        <v>10</v>
      </c>
      <c r="BG93" s="37">
        <v>7.2463768115942031</v>
      </c>
      <c r="BH93" s="38">
        <v>51</v>
      </c>
      <c r="BI93" s="38">
        <v>56</v>
      </c>
      <c r="BJ93" s="38">
        <v>23</v>
      </c>
      <c r="BK93" s="38">
        <v>33</v>
      </c>
      <c r="BL93" s="37">
        <v>91.071428571428569</v>
      </c>
      <c r="BM93" s="37">
        <v>86.956521739130437</v>
      </c>
      <c r="BN93" s="37">
        <v>93.939393939393938</v>
      </c>
      <c r="BO93" s="38">
        <v>89</v>
      </c>
      <c r="BP93" s="38">
        <v>38</v>
      </c>
      <c r="BQ93" s="38">
        <v>51</v>
      </c>
      <c r="BR93" s="37">
        <v>57.303370786516851</v>
      </c>
      <c r="BS93" s="37">
        <v>52.631578947368418</v>
      </c>
      <c r="BT93" s="37">
        <v>60.784313725490193</v>
      </c>
      <c r="BU93" s="2"/>
      <c r="BV93" s="2"/>
    </row>
    <row r="94" spans="1:74" ht="15.75" x14ac:dyDescent="0.3">
      <c r="A94" s="2" t="s">
        <v>54</v>
      </c>
      <c r="B94" s="2" t="s">
        <v>55</v>
      </c>
      <c r="C94" s="2" t="s">
        <v>105</v>
      </c>
      <c r="D94" s="2" t="s">
        <v>57</v>
      </c>
      <c r="E94" s="2" t="s">
        <v>95</v>
      </c>
      <c r="F94" s="2" t="s">
        <v>106</v>
      </c>
      <c r="G94" s="2" t="s">
        <v>186</v>
      </c>
      <c r="H94" s="2" t="s">
        <v>61</v>
      </c>
      <c r="I94" s="2" t="s">
        <v>506</v>
      </c>
      <c r="J94" s="2" t="s">
        <v>507</v>
      </c>
      <c r="K94" s="2" t="s">
        <v>76</v>
      </c>
      <c r="L94" s="2" t="s">
        <v>320</v>
      </c>
      <c r="M94" s="2">
        <v>0</v>
      </c>
      <c r="N94" s="2" t="s">
        <v>508</v>
      </c>
      <c r="O94" s="2" t="s">
        <v>80</v>
      </c>
      <c r="P94" s="2" t="s">
        <v>80</v>
      </c>
      <c r="Q94" s="2" t="s">
        <v>69</v>
      </c>
      <c r="R94" s="2" t="s">
        <v>70</v>
      </c>
      <c r="S94" s="2" t="s">
        <v>509</v>
      </c>
      <c r="T94" s="2" t="s">
        <v>510</v>
      </c>
      <c r="U94" s="2" t="s">
        <v>511</v>
      </c>
      <c r="V94" s="2" t="s">
        <v>510</v>
      </c>
      <c r="W94" s="2" t="s">
        <v>74</v>
      </c>
      <c r="X94" s="38">
        <v>80</v>
      </c>
      <c r="Y94" s="38">
        <v>32</v>
      </c>
      <c r="Z94" s="38">
        <v>48</v>
      </c>
      <c r="AA94" s="38">
        <v>57</v>
      </c>
      <c r="AB94" s="38">
        <v>16</v>
      </c>
      <c r="AC94" s="38">
        <v>41</v>
      </c>
      <c r="AD94" s="38">
        <v>7</v>
      </c>
      <c r="AE94" s="38">
        <v>4</v>
      </c>
      <c r="AF94" s="38">
        <v>3</v>
      </c>
      <c r="AG94" s="38">
        <v>0</v>
      </c>
      <c r="AH94" s="38">
        <v>0</v>
      </c>
      <c r="AI94" s="38">
        <v>0</v>
      </c>
      <c r="AJ94" s="38">
        <v>16</v>
      </c>
      <c r="AK94" s="37">
        <v>20</v>
      </c>
      <c r="AL94" s="40">
        <f t="shared" si="4"/>
        <v>12</v>
      </c>
      <c r="AM94" s="37">
        <f t="shared" si="5"/>
        <v>37.5</v>
      </c>
      <c r="AN94" s="40">
        <f t="shared" si="6"/>
        <v>4</v>
      </c>
      <c r="AO94" s="37">
        <f t="shared" si="7"/>
        <v>8.3333333333333321</v>
      </c>
      <c r="AP94" s="38">
        <v>90</v>
      </c>
      <c r="AQ94" s="38">
        <v>40</v>
      </c>
      <c r="AR94" s="38">
        <v>50</v>
      </c>
      <c r="AS94" s="38">
        <v>44</v>
      </c>
      <c r="AT94" s="38">
        <v>20</v>
      </c>
      <c r="AU94" s="38">
        <v>24</v>
      </c>
      <c r="AV94" s="38">
        <v>27</v>
      </c>
      <c r="AW94" s="38">
        <v>9</v>
      </c>
      <c r="AX94" s="38">
        <v>18</v>
      </c>
      <c r="AY94" s="38">
        <v>86</v>
      </c>
      <c r="AZ94" s="38">
        <v>34</v>
      </c>
      <c r="BA94" s="38">
        <v>52</v>
      </c>
      <c r="BB94" s="38">
        <v>13</v>
      </c>
      <c r="BC94" s="37">
        <v>15.11627906976744</v>
      </c>
      <c r="BD94" s="40">
        <v>5</v>
      </c>
      <c r="BE94" s="37">
        <v>14.705882352941178</v>
      </c>
      <c r="BF94" s="40">
        <v>8</v>
      </c>
      <c r="BG94" s="37">
        <v>15.384615384615385</v>
      </c>
      <c r="BH94" s="38">
        <v>27</v>
      </c>
      <c r="BI94" s="38">
        <v>29</v>
      </c>
      <c r="BJ94" s="38">
        <v>9</v>
      </c>
      <c r="BK94" s="38">
        <v>20</v>
      </c>
      <c r="BL94" s="37">
        <v>93.103448275862064</v>
      </c>
      <c r="BM94" s="37">
        <v>100</v>
      </c>
      <c r="BN94" s="37">
        <v>90</v>
      </c>
      <c r="BO94" s="38">
        <v>42</v>
      </c>
      <c r="BP94" s="38">
        <v>16</v>
      </c>
      <c r="BQ94" s="38">
        <v>26</v>
      </c>
      <c r="BR94" s="37">
        <v>64.285714285714292</v>
      </c>
      <c r="BS94" s="37">
        <v>56.25</v>
      </c>
      <c r="BT94" s="37">
        <v>69.230769230769226</v>
      </c>
      <c r="BU94" s="2"/>
      <c r="BV94" s="2"/>
    </row>
    <row r="95" spans="1:74" ht="15.75" x14ac:dyDescent="0.3">
      <c r="A95" s="2" t="s">
        <v>54</v>
      </c>
      <c r="B95" s="2" t="s">
        <v>55</v>
      </c>
      <c r="C95" s="2" t="s">
        <v>56</v>
      </c>
      <c r="D95" s="2" t="s">
        <v>57</v>
      </c>
      <c r="E95" s="2" t="s">
        <v>95</v>
      </c>
      <c r="F95" s="2" t="s">
        <v>106</v>
      </c>
      <c r="G95" s="2" t="s">
        <v>186</v>
      </c>
      <c r="H95" s="2" t="s">
        <v>187</v>
      </c>
      <c r="I95" s="2" t="s">
        <v>217</v>
      </c>
      <c r="J95" s="2" t="s">
        <v>512</v>
      </c>
      <c r="K95" s="2" t="s">
        <v>76</v>
      </c>
      <c r="L95" s="2" t="s">
        <v>320</v>
      </c>
      <c r="M95" s="2">
        <v>0</v>
      </c>
      <c r="N95" s="2" t="s">
        <v>513</v>
      </c>
      <c r="O95" s="2" t="s">
        <v>80</v>
      </c>
      <c r="P95" s="2" t="s">
        <v>80</v>
      </c>
      <c r="Q95" s="2" t="s">
        <v>135</v>
      </c>
      <c r="R95" s="2" t="s">
        <v>136</v>
      </c>
      <c r="S95" s="2" t="s">
        <v>514</v>
      </c>
      <c r="T95" s="2" t="s">
        <v>515</v>
      </c>
      <c r="U95" s="2" t="s">
        <v>516</v>
      </c>
      <c r="V95" s="2" t="s">
        <v>515</v>
      </c>
      <c r="W95" s="2" t="s">
        <v>113</v>
      </c>
      <c r="X95" s="38">
        <v>47</v>
      </c>
      <c r="Y95" s="38">
        <v>23</v>
      </c>
      <c r="Z95" s="38">
        <v>24</v>
      </c>
      <c r="AA95" s="38">
        <v>31</v>
      </c>
      <c r="AB95" s="38">
        <v>14</v>
      </c>
      <c r="AC95" s="38">
        <v>17</v>
      </c>
      <c r="AD95" s="38">
        <v>16</v>
      </c>
      <c r="AE95" s="38">
        <v>9</v>
      </c>
      <c r="AF95" s="38">
        <v>7</v>
      </c>
      <c r="AG95" s="38">
        <v>0</v>
      </c>
      <c r="AH95" s="38">
        <v>0</v>
      </c>
      <c r="AI95" s="38">
        <v>0</v>
      </c>
      <c r="AJ95" s="38">
        <v>0</v>
      </c>
      <c r="AK95" s="37">
        <v>0</v>
      </c>
      <c r="AL95" s="40">
        <f t="shared" si="4"/>
        <v>0</v>
      </c>
      <c r="AM95" s="37">
        <f t="shared" si="5"/>
        <v>0</v>
      </c>
      <c r="AN95" s="40">
        <f t="shared" si="6"/>
        <v>0</v>
      </c>
      <c r="AO95" s="37">
        <f t="shared" si="7"/>
        <v>0</v>
      </c>
      <c r="AP95" s="38">
        <v>54</v>
      </c>
      <c r="AQ95" s="38">
        <v>22</v>
      </c>
      <c r="AR95" s="38">
        <v>32</v>
      </c>
      <c r="AS95" s="38">
        <v>25</v>
      </c>
      <c r="AT95" s="38">
        <v>9</v>
      </c>
      <c r="AU95" s="38">
        <v>16</v>
      </c>
      <c r="AV95" s="38">
        <v>19</v>
      </c>
      <c r="AW95" s="38">
        <v>10</v>
      </c>
      <c r="AX95" s="38">
        <v>9</v>
      </c>
      <c r="AY95" s="38">
        <v>63</v>
      </c>
      <c r="AZ95" s="38">
        <v>32</v>
      </c>
      <c r="BA95" s="38">
        <v>31</v>
      </c>
      <c r="BB95" s="38">
        <v>15</v>
      </c>
      <c r="BC95" s="37">
        <v>23.809523809523807</v>
      </c>
      <c r="BD95" s="40">
        <v>9</v>
      </c>
      <c r="BE95" s="37">
        <v>28.125</v>
      </c>
      <c r="BF95" s="40">
        <v>6</v>
      </c>
      <c r="BG95" s="37">
        <v>19.35483870967742</v>
      </c>
      <c r="BH95" s="38">
        <v>19</v>
      </c>
      <c r="BI95" s="38">
        <v>23</v>
      </c>
      <c r="BJ95" s="38">
        <v>14</v>
      </c>
      <c r="BK95" s="38">
        <v>9</v>
      </c>
      <c r="BL95" s="37">
        <v>82.608695652173907</v>
      </c>
      <c r="BM95" s="37">
        <v>71.428571428571431</v>
      </c>
      <c r="BN95" s="37">
        <v>100</v>
      </c>
      <c r="BO95" s="38">
        <v>28</v>
      </c>
      <c r="BP95" s="38">
        <v>16</v>
      </c>
      <c r="BQ95" s="38">
        <v>12</v>
      </c>
      <c r="BR95" s="37">
        <v>67.857142857142861</v>
      </c>
      <c r="BS95" s="37">
        <v>62.5</v>
      </c>
      <c r="BT95" s="37">
        <v>75</v>
      </c>
      <c r="BU95" s="2"/>
      <c r="BV95" s="2"/>
    </row>
    <row r="96" spans="1:74" ht="15.75" x14ac:dyDescent="0.3">
      <c r="A96" s="2" t="s">
        <v>54</v>
      </c>
      <c r="B96" s="2" t="s">
        <v>55</v>
      </c>
      <c r="C96" s="2" t="s">
        <v>56</v>
      </c>
      <c r="D96" s="2" t="s">
        <v>57</v>
      </c>
      <c r="E96" s="2" t="s">
        <v>95</v>
      </c>
      <c r="F96" s="2" t="s">
        <v>106</v>
      </c>
      <c r="G96" s="2" t="s">
        <v>186</v>
      </c>
      <c r="H96" s="2" t="s">
        <v>517</v>
      </c>
      <c r="I96" s="2" t="s">
        <v>150</v>
      </c>
      <c r="J96" s="2" t="s">
        <v>518</v>
      </c>
      <c r="K96" s="2" t="s">
        <v>76</v>
      </c>
      <c r="L96" s="2" t="s">
        <v>320</v>
      </c>
      <c r="M96" s="2">
        <v>0</v>
      </c>
      <c r="N96" s="2" t="s">
        <v>519</v>
      </c>
      <c r="O96" s="2" t="s">
        <v>80</v>
      </c>
      <c r="P96" s="2" t="s">
        <v>80</v>
      </c>
      <c r="Q96" s="2" t="s">
        <v>144</v>
      </c>
      <c r="R96" s="2" t="s">
        <v>145</v>
      </c>
      <c r="S96" s="2" t="s">
        <v>520</v>
      </c>
      <c r="T96" s="2" t="s">
        <v>521</v>
      </c>
      <c r="U96" s="2" t="s">
        <v>522</v>
      </c>
      <c r="V96" s="2" t="s">
        <v>521</v>
      </c>
      <c r="W96" s="2" t="s">
        <v>113</v>
      </c>
      <c r="X96" s="38">
        <v>25</v>
      </c>
      <c r="Y96" s="38">
        <v>11</v>
      </c>
      <c r="Z96" s="38">
        <v>14</v>
      </c>
      <c r="AA96" s="38">
        <v>25</v>
      </c>
      <c r="AB96" s="38">
        <v>11</v>
      </c>
      <c r="AC96" s="38">
        <v>14</v>
      </c>
      <c r="AD96" s="38">
        <v>0</v>
      </c>
      <c r="AE96" s="38">
        <v>0</v>
      </c>
      <c r="AF96" s="38">
        <v>0</v>
      </c>
      <c r="AG96" s="38">
        <v>0</v>
      </c>
      <c r="AH96" s="38">
        <v>0</v>
      </c>
      <c r="AI96" s="38">
        <v>0</v>
      </c>
      <c r="AJ96" s="38">
        <v>0</v>
      </c>
      <c r="AK96" s="37">
        <v>0</v>
      </c>
      <c r="AL96" s="40">
        <f t="shared" si="4"/>
        <v>0</v>
      </c>
      <c r="AM96" s="37">
        <f t="shared" si="5"/>
        <v>0</v>
      </c>
      <c r="AN96" s="40">
        <f t="shared" si="6"/>
        <v>0</v>
      </c>
      <c r="AO96" s="37">
        <f t="shared" si="7"/>
        <v>0</v>
      </c>
      <c r="AP96" s="38">
        <v>33</v>
      </c>
      <c r="AQ96" s="38">
        <v>15</v>
      </c>
      <c r="AR96" s="38">
        <v>18</v>
      </c>
      <c r="AS96" s="38">
        <v>15</v>
      </c>
      <c r="AT96" s="38">
        <v>6</v>
      </c>
      <c r="AU96" s="38">
        <v>9</v>
      </c>
      <c r="AV96" s="38">
        <v>0</v>
      </c>
      <c r="AW96" s="38">
        <v>0</v>
      </c>
      <c r="AX96" s="38">
        <v>0</v>
      </c>
      <c r="AY96" s="38">
        <v>39</v>
      </c>
      <c r="AZ96" s="38">
        <v>22</v>
      </c>
      <c r="BA96" s="38">
        <v>17</v>
      </c>
      <c r="BB96" s="38">
        <v>21</v>
      </c>
      <c r="BC96" s="37">
        <v>53.846153846153847</v>
      </c>
      <c r="BD96" s="40">
        <v>13</v>
      </c>
      <c r="BE96" s="37">
        <v>59.090909090909093</v>
      </c>
      <c r="BF96" s="40">
        <v>8</v>
      </c>
      <c r="BG96" s="37">
        <v>47.058823529411761</v>
      </c>
      <c r="BH96" s="38">
        <v>0</v>
      </c>
      <c r="BI96" s="38">
        <v>7</v>
      </c>
      <c r="BJ96" s="38">
        <v>2</v>
      </c>
      <c r="BK96" s="38">
        <v>5</v>
      </c>
      <c r="BL96" s="37">
        <v>0</v>
      </c>
      <c r="BM96" s="37">
        <v>0</v>
      </c>
      <c r="BN96" s="37">
        <v>0</v>
      </c>
      <c r="BO96" s="38">
        <v>15</v>
      </c>
      <c r="BP96" s="38">
        <v>7</v>
      </c>
      <c r="BQ96" s="38">
        <v>8</v>
      </c>
      <c r="BR96" s="37">
        <v>0</v>
      </c>
      <c r="BS96" s="37">
        <v>0</v>
      </c>
      <c r="BT96" s="37">
        <v>0</v>
      </c>
      <c r="BU96" s="2"/>
      <c r="BV96" s="2"/>
    </row>
    <row r="97" spans="1:74" ht="15.75" x14ac:dyDescent="0.3">
      <c r="A97" s="2" t="s">
        <v>54</v>
      </c>
      <c r="B97" s="2" t="s">
        <v>55</v>
      </c>
      <c r="C97" s="2" t="s">
        <v>105</v>
      </c>
      <c r="D97" s="2" t="s">
        <v>57</v>
      </c>
      <c r="E97" s="2" t="s">
        <v>95</v>
      </c>
      <c r="F97" s="2" t="s">
        <v>106</v>
      </c>
      <c r="G97" s="2" t="s">
        <v>186</v>
      </c>
      <c r="H97" s="2" t="s">
        <v>61</v>
      </c>
      <c r="I97" s="2" t="s">
        <v>178</v>
      </c>
      <c r="J97" s="2" t="s">
        <v>523</v>
      </c>
      <c r="K97" s="2" t="s">
        <v>76</v>
      </c>
      <c r="L97" s="2" t="s">
        <v>320</v>
      </c>
      <c r="M97" s="2">
        <v>0</v>
      </c>
      <c r="N97" s="2" t="s">
        <v>524</v>
      </c>
      <c r="O97" s="2" t="s">
        <v>525</v>
      </c>
      <c r="P97" s="2" t="s">
        <v>80</v>
      </c>
      <c r="Q97" s="2" t="s">
        <v>90</v>
      </c>
      <c r="R97" s="2" t="s">
        <v>91</v>
      </c>
      <c r="S97" s="2" t="s">
        <v>526</v>
      </c>
      <c r="T97" s="2" t="s">
        <v>527</v>
      </c>
      <c r="U97" s="2" t="s">
        <v>528</v>
      </c>
      <c r="V97" s="2" t="s">
        <v>527</v>
      </c>
      <c r="W97" s="2" t="s">
        <v>113</v>
      </c>
      <c r="X97" s="38">
        <v>68</v>
      </c>
      <c r="Y97" s="38">
        <v>26</v>
      </c>
      <c r="Z97" s="38">
        <v>42</v>
      </c>
      <c r="AA97" s="38">
        <v>63</v>
      </c>
      <c r="AB97" s="38">
        <v>24</v>
      </c>
      <c r="AC97" s="38">
        <v>39</v>
      </c>
      <c r="AD97" s="38">
        <v>0</v>
      </c>
      <c r="AE97" s="38">
        <v>0</v>
      </c>
      <c r="AF97" s="38">
        <v>0</v>
      </c>
      <c r="AG97" s="38">
        <v>0</v>
      </c>
      <c r="AH97" s="38">
        <v>0</v>
      </c>
      <c r="AI97" s="38">
        <v>0</v>
      </c>
      <c r="AJ97" s="38">
        <v>5</v>
      </c>
      <c r="AK97" s="37">
        <v>7.3529411764705888</v>
      </c>
      <c r="AL97" s="40">
        <f t="shared" si="4"/>
        <v>2</v>
      </c>
      <c r="AM97" s="37">
        <f t="shared" si="5"/>
        <v>7.6923076923076925</v>
      </c>
      <c r="AN97" s="40">
        <f t="shared" si="6"/>
        <v>3</v>
      </c>
      <c r="AO97" s="37">
        <f t="shared" si="7"/>
        <v>7.1428571428571423</v>
      </c>
      <c r="AP97" s="38">
        <v>99</v>
      </c>
      <c r="AQ97" s="38">
        <v>35</v>
      </c>
      <c r="AR97" s="38">
        <v>64</v>
      </c>
      <c r="AS97" s="38">
        <v>50</v>
      </c>
      <c r="AT97" s="38">
        <v>20</v>
      </c>
      <c r="AU97" s="38">
        <v>30</v>
      </c>
      <c r="AV97" s="38">
        <v>36</v>
      </c>
      <c r="AW97" s="38">
        <v>18</v>
      </c>
      <c r="AX97" s="38">
        <v>18</v>
      </c>
      <c r="AY97" s="38">
        <v>77</v>
      </c>
      <c r="AZ97" s="38">
        <v>43</v>
      </c>
      <c r="BA97" s="38">
        <v>34</v>
      </c>
      <c r="BB97" s="38">
        <v>-8</v>
      </c>
      <c r="BC97" s="37">
        <v>-10.38961038961039</v>
      </c>
      <c r="BD97" s="40">
        <v>10</v>
      </c>
      <c r="BE97" s="37">
        <v>23.255813953488371</v>
      </c>
      <c r="BF97" s="40">
        <v>-18</v>
      </c>
      <c r="BG97" s="37">
        <v>-52.941176470588239</v>
      </c>
      <c r="BH97" s="38">
        <v>36</v>
      </c>
      <c r="BI97" s="38">
        <v>11</v>
      </c>
      <c r="BJ97" s="38">
        <v>7</v>
      </c>
      <c r="BK97" s="38">
        <v>4</v>
      </c>
      <c r="BL97" s="37">
        <v>327.27272727272731</v>
      </c>
      <c r="BM97" s="37">
        <v>257.14285714285717</v>
      </c>
      <c r="BN97" s="37">
        <v>450</v>
      </c>
      <c r="BO97" s="38">
        <v>23</v>
      </c>
      <c r="BP97" s="38">
        <v>14</v>
      </c>
      <c r="BQ97" s="38">
        <v>9</v>
      </c>
      <c r="BR97" s="37">
        <v>156.52173913043478</v>
      </c>
      <c r="BS97" s="37">
        <v>128.57142857142858</v>
      </c>
      <c r="BT97" s="37">
        <v>200</v>
      </c>
      <c r="BU97" s="2"/>
      <c r="BV97" s="2"/>
    </row>
    <row r="98" spans="1:74" ht="15.75" x14ac:dyDescent="0.3">
      <c r="A98" s="2" t="s">
        <v>54</v>
      </c>
      <c r="B98" s="2" t="s">
        <v>55</v>
      </c>
      <c r="C98" s="2" t="s">
        <v>56</v>
      </c>
      <c r="D98" s="2" t="s">
        <v>57</v>
      </c>
      <c r="E98" s="2" t="s">
        <v>95</v>
      </c>
      <c r="F98" s="2" t="s">
        <v>106</v>
      </c>
      <c r="G98" s="2" t="s">
        <v>186</v>
      </c>
      <c r="H98" s="2" t="s">
        <v>260</v>
      </c>
      <c r="I98" s="2" t="s">
        <v>403</v>
      </c>
      <c r="J98" s="2" t="s">
        <v>529</v>
      </c>
      <c r="K98" s="2" t="s">
        <v>76</v>
      </c>
      <c r="L98" s="2" t="s">
        <v>320</v>
      </c>
      <c r="M98" s="2">
        <v>0</v>
      </c>
      <c r="N98" s="2" t="s">
        <v>530</v>
      </c>
      <c r="O98" s="2" t="s">
        <v>531</v>
      </c>
      <c r="P98" s="2" t="s">
        <v>80</v>
      </c>
      <c r="Q98" s="2" t="s">
        <v>144</v>
      </c>
      <c r="R98" s="2" t="s">
        <v>145</v>
      </c>
      <c r="S98" s="2" t="s">
        <v>532</v>
      </c>
      <c r="T98" s="2" t="s">
        <v>533</v>
      </c>
      <c r="U98" s="2" t="s">
        <v>534</v>
      </c>
      <c r="V98" s="2" t="s">
        <v>533</v>
      </c>
      <c r="W98" s="2" t="s">
        <v>113</v>
      </c>
      <c r="X98" s="38">
        <v>23</v>
      </c>
      <c r="Y98" s="38">
        <v>7</v>
      </c>
      <c r="Z98" s="38">
        <v>16</v>
      </c>
      <c r="AA98" s="38">
        <v>23</v>
      </c>
      <c r="AB98" s="38">
        <v>7</v>
      </c>
      <c r="AC98" s="38">
        <v>16</v>
      </c>
      <c r="AD98" s="38">
        <v>0</v>
      </c>
      <c r="AE98" s="38">
        <v>0</v>
      </c>
      <c r="AF98" s="38">
        <v>0</v>
      </c>
      <c r="AG98" s="38">
        <v>0</v>
      </c>
      <c r="AH98" s="38">
        <v>0</v>
      </c>
      <c r="AI98" s="38">
        <v>0</v>
      </c>
      <c r="AJ98" s="38">
        <v>0</v>
      </c>
      <c r="AK98" s="37">
        <v>0</v>
      </c>
      <c r="AL98" s="40">
        <f t="shared" si="4"/>
        <v>0</v>
      </c>
      <c r="AM98" s="37">
        <f t="shared" si="5"/>
        <v>0</v>
      </c>
      <c r="AN98" s="40">
        <f t="shared" si="6"/>
        <v>0</v>
      </c>
      <c r="AO98" s="37">
        <f t="shared" si="7"/>
        <v>0</v>
      </c>
      <c r="AP98" s="38">
        <v>31</v>
      </c>
      <c r="AQ98" s="38">
        <v>11</v>
      </c>
      <c r="AR98" s="38">
        <v>20</v>
      </c>
      <c r="AS98" s="38">
        <v>11</v>
      </c>
      <c r="AT98" s="38">
        <v>5</v>
      </c>
      <c r="AU98" s="38">
        <v>6</v>
      </c>
      <c r="AV98" s="38">
        <v>3</v>
      </c>
      <c r="AW98" s="38">
        <v>1</v>
      </c>
      <c r="AX98" s="38">
        <v>2</v>
      </c>
      <c r="AY98" s="38">
        <v>28</v>
      </c>
      <c r="AZ98" s="38">
        <v>10</v>
      </c>
      <c r="BA98" s="38">
        <v>18</v>
      </c>
      <c r="BB98" s="38">
        <v>5</v>
      </c>
      <c r="BC98" s="37">
        <v>17.857142857142858</v>
      </c>
      <c r="BD98" s="40">
        <v>3</v>
      </c>
      <c r="BE98" s="37">
        <v>30</v>
      </c>
      <c r="BF98" s="40">
        <v>2</v>
      </c>
      <c r="BG98" s="37">
        <v>11.111111111111111</v>
      </c>
      <c r="BH98" s="38">
        <v>3</v>
      </c>
      <c r="BI98" s="38">
        <v>4</v>
      </c>
      <c r="BJ98" s="38">
        <v>1</v>
      </c>
      <c r="BK98" s="38">
        <v>3</v>
      </c>
      <c r="BL98" s="37">
        <v>75</v>
      </c>
      <c r="BM98" s="37">
        <v>100</v>
      </c>
      <c r="BN98" s="37">
        <v>66.666666666666657</v>
      </c>
      <c r="BO98" s="38">
        <v>12</v>
      </c>
      <c r="BP98" s="38">
        <v>4</v>
      </c>
      <c r="BQ98" s="38">
        <v>8</v>
      </c>
      <c r="BR98" s="37">
        <v>25</v>
      </c>
      <c r="BS98" s="37">
        <v>25</v>
      </c>
      <c r="BT98" s="37">
        <v>25</v>
      </c>
      <c r="BU98" s="2"/>
      <c r="BV98" s="2"/>
    </row>
    <row r="99" spans="1:74" ht="15.75" x14ac:dyDescent="0.3">
      <c r="A99" s="2" t="s">
        <v>54</v>
      </c>
      <c r="B99" s="2" t="s">
        <v>55</v>
      </c>
      <c r="C99" s="2" t="s">
        <v>105</v>
      </c>
      <c r="D99" s="2" t="s">
        <v>57</v>
      </c>
      <c r="E99" s="2" t="s">
        <v>95</v>
      </c>
      <c r="F99" s="2" t="s">
        <v>106</v>
      </c>
      <c r="G99" s="2" t="s">
        <v>60</v>
      </c>
      <c r="H99" s="2" t="s">
        <v>260</v>
      </c>
      <c r="I99" s="2" t="s">
        <v>62</v>
      </c>
      <c r="J99" s="2" t="s">
        <v>535</v>
      </c>
      <c r="K99" s="2" t="s">
        <v>76</v>
      </c>
      <c r="L99" s="2" t="s">
        <v>320</v>
      </c>
      <c r="M99" s="2">
        <v>0</v>
      </c>
      <c r="N99" s="2" t="s">
        <v>536</v>
      </c>
      <c r="O99" s="2" t="s">
        <v>537</v>
      </c>
      <c r="P99" s="2" t="s">
        <v>80</v>
      </c>
      <c r="Q99" s="2" t="s">
        <v>69</v>
      </c>
      <c r="R99" s="2" t="s">
        <v>70</v>
      </c>
      <c r="S99" s="2" t="s">
        <v>538</v>
      </c>
      <c r="T99" s="2" t="s">
        <v>539</v>
      </c>
      <c r="U99" s="2" t="s">
        <v>540</v>
      </c>
      <c r="V99" s="2" t="s">
        <v>539</v>
      </c>
      <c r="W99" s="2" t="s">
        <v>113</v>
      </c>
      <c r="X99" s="38">
        <v>75</v>
      </c>
      <c r="Y99" s="38">
        <v>23</v>
      </c>
      <c r="Z99" s="38">
        <v>52</v>
      </c>
      <c r="AA99" s="38">
        <v>75</v>
      </c>
      <c r="AB99" s="38">
        <v>23</v>
      </c>
      <c r="AC99" s="38">
        <v>52</v>
      </c>
      <c r="AD99" s="38">
        <v>0</v>
      </c>
      <c r="AE99" s="38">
        <v>0</v>
      </c>
      <c r="AF99" s="38">
        <v>0</v>
      </c>
      <c r="AG99" s="38">
        <v>0</v>
      </c>
      <c r="AH99" s="38">
        <v>0</v>
      </c>
      <c r="AI99" s="38">
        <v>0</v>
      </c>
      <c r="AJ99" s="38">
        <v>0</v>
      </c>
      <c r="AK99" s="37">
        <v>0</v>
      </c>
      <c r="AL99" s="40">
        <f t="shared" si="4"/>
        <v>0</v>
      </c>
      <c r="AM99" s="37">
        <f t="shared" si="5"/>
        <v>0</v>
      </c>
      <c r="AN99" s="40">
        <f t="shared" si="6"/>
        <v>0</v>
      </c>
      <c r="AO99" s="37">
        <f t="shared" si="7"/>
        <v>0</v>
      </c>
      <c r="AP99" s="38">
        <v>92</v>
      </c>
      <c r="AQ99" s="38">
        <v>31</v>
      </c>
      <c r="AR99" s="38">
        <v>61</v>
      </c>
      <c r="AS99" s="38">
        <v>36</v>
      </c>
      <c r="AT99" s="38">
        <v>16</v>
      </c>
      <c r="AU99" s="38">
        <v>20</v>
      </c>
      <c r="AV99" s="38">
        <v>0</v>
      </c>
      <c r="AW99" s="38">
        <v>0</v>
      </c>
      <c r="AX99" s="38">
        <v>0</v>
      </c>
      <c r="AY99" s="38">
        <v>96</v>
      </c>
      <c r="AZ99" s="38">
        <v>41</v>
      </c>
      <c r="BA99" s="38">
        <v>55</v>
      </c>
      <c r="BB99" s="38">
        <v>40</v>
      </c>
      <c r="BC99" s="37">
        <v>41.666666666666671</v>
      </c>
      <c r="BD99" s="40">
        <v>26</v>
      </c>
      <c r="BE99" s="37">
        <v>63.414634146341463</v>
      </c>
      <c r="BF99" s="40">
        <v>14</v>
      </c>
      <c r="BG99" s="37">
        <v>25.454545454545453</v>
      </c>
      <c r="BH99" s="38">
        <v>0</v>
      </c>
      <c r="BI99" s="38">
        <v>17</v>
      </c>
      <c r="BJ99" s="38">
        <v>7</v>
      </c>
      <c r="BK99" s="38">
        <v>10</v>
      </c>
      <c r="BL99" s="37">
        <v>0</v>
      </c>
      <c r="BM99" s="37">
        <v>0</v>
      </c>
      <c r="BN99" s="37">
        <v>0</v>
      </c>
      <c r="BO99" s="38">
        <v>29</v>
      </c>
      <c r="BP99" s="38">
        <v>13</v>
      </c>
      <c r="BQ99" s="38">
        <v>16</v>
      </c>
      <c r="BR99" s="37">
        <v>0</v>
      </c>
      <c r="BS99" s="37">
        <v>0</v>
      </c>
      <c r="BT99" s="37">
        <v>0</v>
      </c>
      <c r="BU99" s="2"/>
      <c r="BV99" s="2"/>
    </row>
    <row r="100" spans="1:74" ht="15.75" x14ac:dyDescent="0.3">
      <c r="A100" s="2" t="s">
        <v>54</v>
      </c>
      <c r="B100" s="2" t="s">
        <v>55</v>
      </c>
      <c r="C100" s="2" t="s">
        <v>105</v>
      </c>
      <c r="D100" s="2" t="s">
        <v>57</v>
      </c>
      <c r="E100" s="2" t="s">
        <v>95</v>
      </c>
      <c r="F100" s="2" t="s">
        <v>106</v>
      </c>
      <c r="G100" s="2" t="s">
        <v>186</v>
      </c>
      <c r="H100" s="2" t="s">
        <v>187</v>
      </c>
      <c r="I100" s="2" t="s">
        <v>140</v>
      </c>
      <c r="J100" s="2" t="s">
        <v>541</v>
      </c>
      <c r="K100" s="2" t="s">
        <v>76</v>
      </c>
      <c r="L100" s="2" t="s">
        <v>320</v>
      </c>
      <c r="M100" s="2">
        <v>0</v>
      </c>
      <c r="N100" s="2" t="s">
        <v>542</v>
      </c>
      <c r="O100" s="2" t="s">
        <v>543</v>
      </c>
      <c r="P100" s="2" t="s">
        <v>80</v>
      </c>
      <c r="Q100" s="2" t="s">
        <v>144</v>
      </c>
      <c r="R100" s="2" t="s">
        <v>145</v>
      </c>
      <c r="S100" s="2" t="s">
        <v>544</v>
      </c>
      <c r="T100" s="2" t="s">
        <v>545</v>
      </c>
      <c r="U100" s="2" t="s">
        <v>546</v>
      </c>
      <c r="V100" s="2" t="s">
        <v>545</v>
      </c>
      <c r="W100" s="2" t="s">
        <v>113</v>
      </c>
      <c r="X100" s="38">
        <v>26</v>
      </c>
      <c r="Y100" s="38">
        <v>15</v>
      </c>
      <c r="Z100" s="38">
        <v>11</v>
      </c>
      <c r="AA100" s="38">
        <v>26</v>
      </c>
      <c r="AB100" s="38">
        <v>15</v>
      </c>
      <c r="AC100" s="38">
        <v>11</v>
      </c>
      <c r="AD100" s="38">
        <v>0</v>
      </c>
      <c r="AE100" s="38">
        <v>0</v>
      </c>
      <c r="AF100" s="38">
        <v>0</v>
      </c>
      <c r="AG100" s="38">
        <v>0</v>
      </c>
      <c r="AH100" s="38">
        <v>0</v>
      </c>
      <c r="AI100" s="38">
        <v>0</v>
      </c>
      <c r="AJ100" s="38">
        <v>0</v>
      </c>
      <c r="AK100" s="37">
        <v>0</v>
      </c>
      <c r="AL100" s="40">
        <f t="shared" si="4"/>
        <v>0</v>
      </c>
      <c r="AM100" s="37">
        <f t="shared" si="5"/>
        <v>0</v>
      </c>
      <c r="AN100" s="40">
        <f t="shared" si="6"/>
        <v>0</v>
      </c>
      <c r="AO100" s="37">
        <f t="shared" si="7"/>
        <v>0</v>
      </c>
      <c r="AP100" s="38">
        <v>30</v>
      </c>
      <c r="AQ100" s="38">
        <v>18</v>
      </c>
      <c r="AR100" s="38">
        <v>12</v>
      </c>
      <c r="AS100" s="38">
        <v>10</v>
      </c>
      <c r="AT100" s="38">
        <v>6</v>
      </c>
      <c r="AU100" s="38">
        <v>4</v>
      </c>
      <c r="AV100" s="38">
        <v>6</v>
      </c>
      <c r="AW100" s="38">
        <v>3</v>
      </c>
      <c r="AX100" s="38">
        <v>3</v>
      </c>
      <c r="AY100" s="38">
        <v>28</v>
      </c>
      <c r="AZ100" s="38">
        <v>16</v>
      </c>
      <c r="BA100" s="38">
        <v>12</v>
      </c>
      <c r="BB100" s="38">
        <v>2</v>
      </c>
      <c r="BC100" s="37">
        <v>7.1428571428571423</v>
      </c>
      <c r="BD100" s="40">
        <v>1</v>
      </c>
      <c r="BE100" s="37">
        <v>6.25</v>
      </c>
      <c r="BF100" s="40">
        <v>1</v>
      </c>
      <c r="BG100" s="37">
        <v>8.3333333333333321</v>
      </c>
      <c r="BH100" s="38">
        <v>6</v>
      </c>
      <c r="BI100" s="38">
        <v>6</v>
      </c>
      <c r="BJ100" s="38">
        <v>3</v>
      </c>
      <c r="BK100" s="38">
        <v>3</v>
      </c>
      <c r="BL100" s="37">
        <v>100</v>
      </c>
      <c r="BM100" s="37">
        <v>100</v>
      </c>
      <c r="BN100" s="37">
        <v>100</v>
      </c>
      <c r="BO100" s="38">
        <v>6</v>
      </c>
      <c r="BP100" s="38">
        <v>3</v>
      </c>
      <c r="BQ100" s="38">
        <v>3</v>
      </c>
      <c r="BR100" s="37">
        <v>100</v>
      </c>
      <c r="BS100" s="37">
        <v>100</v>
      </c>
      <c r="BT100" s="37">
        <v>100</v>
      </c>
      <c r="BU100" s="2"/>
      <c r="BV100" s="2"/>
    </row>
    <row r="101" spans="1:74" ht="15.75" x14ac:dyDescent="0.3">
      <c r="A101" s="2" t="s">
        <v>54</v>
      </c>
      <c r="B101" s="2" t="s">
        <v>55</v>
      </c>
      <c r="C101" s="2" t="s">
        <v>56</v>
      </c>
      <c r="D101" s="2" t="s">
        <v>57</v>
      </c>
      <c r="E101" s="2" t="s">
        <v>95</v>
      </c>
      <c r="F101" s="2" t="s">
        <v>106</v>
      </c>
      <c r="G101" s="2" t="s">
        <v>186</v>
      </c>
      <c r="H101" s="2" t="s">
        <v>187</v>
      </c>
      <c r="I101" s="2" t="s">
        <v>378</v>
      </c>
      <c r="J101" s="2" t="s">
        <v>547</v>
      </c>
      <c r="K101" s="2" t="s">
        <v>76</v>
      </c>
      <c r="L101" s="2" t="s">
        <v>320</v>
      </c>
      <c r="M101" s="2">
        <v>0</v>
      </c>
      <c r="N101" s="2" t="s">
        <v>548</v>
      </c>
      <c r="O101" s="2" t="s">
        <v>549</v>
      </c>
      <c r="P101" s="2" t="s">
        <v>80</v>
      </c>
      <c r="Q101" s="2" t="s">
        <v>144</v>
      </c>
      <c r="R101" s="2" t="s">
        <v>145</v>
      </c>
      <c r="S101" s="2" t="s">
        <v>550</v>
      </c>
      <c r="T101" s="2" t="s">
        <v>551</v>
      </c>
      <c r="U101" s="2" t="s">
        <v>552</v>
      </c>
      <c r="V101" s="2" t="s">
        <v>551</v>
      </c>
      <c r="W101" s="2" t="s">
        <v>113</v>
      </c>
      <c r="X101" s="38">
        <v>39</v>
      </c>
      <c r="Y101" s="38">
        <v>15</v>
      </c>
      <c r="Z101" s="38">
        <v>24</v>
      </c>
      <c r="AA101" s="38">
        <v>38</v>
      </c>
      <c r="AB101" s="38">
        <v>14</v>
      </c>
      <c r="AC101" s="38">
        <v>24</v>
      </c>
      <c r="AD101" s="38">
        <v>1</v>
      </c>
      <c r="AE101" s="38">
        <v>1</v>
      </c>
      <c r="AF101" s="38">
        <v>0</v>
      </c>
      <c r="AG101" s="38">
        <v>0</v>
      </c>
      <c r="AH101" s="38">
        <v>0</v>
      </c>
      <c r="AI101" s="38">
        <v>0</v>
      </c>
      <c r="AJ101" s="38">
        <v>0</v>
      </c>
      <c r="AK101" s="37">
        <v>0</v>
      </c>
      <c r="AL101" s="40">
        <f t="shared" si="4"/>
        <v>0</v>
      </c>
      <c r="AM101" s="37">
        <f t="shared" si="5"/>
        <v>0</v>
      </c>
      <c r="AN101" s="40">
        <f t="shared" si="6"/>
        <v>0</v>
      </c>
      <c r="AO101" s="37">
        <f t="shared" si="7"/>
        <v>0</v>
      </c>
      <c r="AP101" s="38">
        <v>48</v>
      </c>
      <c r="AQ101" s="38">
        <v>22</v>
      </c>
      <c r="AR101" s="38">
        <v>26</v>
      </c>
      <c r="AS101" s="38">
        <v>17</v>
      </c>
      <c r="AT101" s="38">
        <v>10</v>
      </c>
      <c r="AU101" s="38">
        <v>7</v>
      </c>
      <c r="AV101" s="38">
        <v>8</v>
      </c>
      <c r="AW101" s="38">
        <v>3</v>
      </c>
      <c r="AX101" s="38">
        <v>5</v>
      </c>
      <c r="AY101" s="38">
        <v>48</v>
      </c>
      <c r="AZ101" s="38">
        <v>15</v>
      </c>
      <c r="BA101" s="38">
        <v>33</v>
      </c>
      <c r="BB101" s="38">
        <v>9</v>
      </c>
      <c r="BC101" s="37">
        <v>18.75</v>
      </c>
      <c r="BD101" s="40">
        <v>0</v>
      </c>
      <c r="BE101" s="37">
        <v>0</v>
      </c>
      <c r="BF101" s="40">
        <v>9</v>
      </c>
      <c r="BG101" s="37">
        <v>27.27272727272727</v>
      </c>
      <c r="BH101" s="38">
        <v>8</v>
      </c>
      <c r="BI101" s="38">
        <v>8</v>
      </c>
      <c r="BJ101" s="38">
        <v>3</v>
      </c>
      <c r="BK101" s="38">
        <v>5</v>
      </c>
      <c r="BL101" s="37">
        <v>100</v>
      </c>
      <c r="BM101" s="37">
        <v>100</v>
      </c>
      <c r="BN101" s="37">
        <v>100</v>
      </c>
      <c r="BO101" s="38">
        <v>11</v>
      </c>
      <c r="BP101" s="38">
        <v>4</v>
      </c>
      <c r="BQ101" s="38">
        <v>7</v>
      </c>
      <c r="BR101" s="37">
        <v>72.727272727272734</v>
      </c>
      <c r="BS101" s="37">
        <v>75</v>
      </c>
      <c r="BT101" s="37">
        <v>71.428571428571431</v>
      </c>
      <c r="BU101" s="2"/>
      <c r="BV101" s="2"/>
    </row>
    <row r="102" spans="1:74" ht="15.75" x14ac:dyDescent="0.3">
      <c r="A102" s="2" t="s">
        <v>54</v>
      </c>
      <c r="B102" s="2" t="s">
        <v>55</v>
      </c>
      <c r="C102" s="2" t="s">
        <v>105</v>
      </c>
      <c r="D102" s="2" t="s">
        <v>57</v>
      </c>
      <c r="E102" s="2" t="s">
        <v>95</v>
      </c>
      <c r="F102" s="2" t="s">
        <v>106</v>
      </c>
      <c r="G102" s="2" t="s">
        <v>186</v>
      </c>
      <c r="H102" s="2" t="s">
        <v>517</v>
      </c>
      <c r="I102" s="2" t="s">
        <v>140</v>
      </c>
      <c r="J102" s="2" t="s">
        <v>553</v>
      </c>
      <c r="K102" s="2" t="s">
        <v>76</v>
      </c>
      <c r="L102" s="2" t="s">
        <v>320</v>
      </c>
      <c r="M102" s="2">
        <v>0</v>
      </c>
      <c r="N102" s="2" t="s">
        <v>554</v>
      </c>
      <c r="O102" s="2" t="s">
        <v>555</v>
      </c>
      <c r="P102" s="2" t="s">
        <v>80</v>
      </c>
      <c r="Q102" s="2" t="s">
        <v>144</v>
      </c>
      <c r="R102" s="2" t="s">
        <v>145</v>
      </c>
      <c r="S102" s="2" t="s">
        <v>556</v>
      </c>
      <c r="T102" s="2" t="s">
        <v>557</v>
      </c>
      <c r="U102" s="2" t="s">
        <v>558</v>
      </c>
      <c r="V102" s="2" t="s">
        <v>557</v>
      </c>
      <c r="W102" s="2" t="s">
        <v>113</v>
      </c>
      <c r="X102" s="38">
        <v>35</v>
      </c>
      <c r="Y102" s="38">
        <v>13</v>
      </c>
      <c r="Z102" s="38">
        <v>22</v>
      </c>
      <c r="AA102" s="38">
        <v>35</v>
      </c>
      <c r="AB102" s="38">
        <v>13</v>
      </c>
      <c r="AC102" s="38">
        <v>22</v>
      </c>
      <c r="AD102" s="38">
        <v>0</v>
      </c>
      <c r="AE102" s="38">
        <v>0</v>
      </c>
      <c r="AF102" s="38">
        <v>0</v>
      </c>
      <c r="AG102" s="38">
        <v>0</v>
      </c>
      <c r="AH102" s="38">
        <v>0</v>
      </c>
      <c r="AI102" s="38">
        <v>0</v>
      </c>
      <c r="AJ102" s="38">
        <v>0</v>
      </c>
      <c r="AK102" s="37">
        <v>0</v>
      </c>
      <c r="AL102" s="40">
        <f t="shared" si="4"/>
        <v>0</v>
      </c>
      <c r="AM102" s="37">
        <f t="shared" si="5"/>
        <v>0</v>
      </c>
      <c r="AN102" s="40">
        <f t="shared" si="6"/>
        <v>0</v>
      </c>
      <c r="AO102" s="37">
        <f t="shared" si="7"/>
        <v>0</v>
      </c>
      <c r="AP102" s="38">
        <v>51</v>
      </c>
      <c r="AQ102" s="38">
        <v>22</v>
      </c>
      <c r="AR102" s="38">
        <v>29</v>
      </c>
      <c r="AS102" s="38">
        <v>25</v>
      </c>
      <c r="AT102" s="38">
        <v>12</v>
      </c>
      <c r="AU102" s="38">
        <v>13</v>
      </c>
      <c r="AV102" s="38">
        <v>9</v>
      </c>
      <c r="AW102" s="38">
        <v>3</v>
      </c>
      <c r="AX102" s="38">
        <v>6</v>
      </c>
      <c r="AY102" s="38">
        <v>35</v>
      </c>
      <c r="AZ102" s="38">
        <v>13</v>
      </c>
      <c r="BA102" s="38">
        <v>22</v>
      </c>
      <c r="BB102" s="38">
        <v>0</v>
      </c>
      <c r="BC102" s="37">
        <v>0</v>
      </c>
      <c r="BD102" s="40">
        <v>0</v>
      </c>
      <c r="BE102" s="37">
        <v>0</v>
      </c>
      <c r="BF102" s="40">
        <v>0</v>
      </c>
      <c r="BG102" s="37">
        <v>0</v>
      </c>
      <c r="BH102" s="38">
        <v>9</v>
      </c>
      <c r="BI102" s="38">
        <v>9</v>
      </c>
      <c r="BJ102" s="38">
        <v>3</v>
      </c>
      <c r="BK102" s="38">
        <v>6</v>
      </c>
      <c r="BL102" s="37">
        <v>100</v>
      </c>
      <c r="BM102" s="37">
        <v>100</v>
      </c>
      <c r="BN102" s="37">
        <v>100</v>
      </c>
      <c r="BO102" s="38">
        <v>9</v>
      </c>
      <c r="BP102" s="38">
        <v>3</v>
      </c>
      <c r="BQ102" s="38">
        <v>6</v>
      </c>
      <c r="BR102" s="37">
        <v>100</v>
      </c>
      <c r="BS102" s="37">
        <v>100</v>
      </c>
      <c r="BT102" s="37">
        <v>100</v>
      </c>
      <c r="BU102" s="2"/>
      <c r="BV102" s="2"/>
    </row>
    <row r="103" spans="1:74" ht="15.75" x14ac:dyDescent="0.3">
      <c r="A103" s="2" t="s">
        <v>54</v>
      </c>
      <c r="B103" s="2" t="s">
        <v>55</v>
      </c>
      <c r="C103" s="2" t="s">
        <v>105</v>
      </c>
      <c r="D103" s="2" t="s">
        <v>57</v>
      </c>
      <c r="E103" s="2" t="s">
        <v>95</v>
      </c>
      <c r="F103" s="2" t="s">
        <v>106</v>
      </c>
      <c r="G103" s="2" t="s">
        <v>186</v>
      </c>
      <c r="H103" s="2" t="s">
        <v>187</v>
      </c>
      <c r="I103" s="2" t="s">
        <v>140</v>
      </c>
      <c r="J103" s="2" t="s">
        <v>559</v>
      </c>
      <c r="K103" s="2" t="s">
        <v>76</v>
      </c>
      <c r="L103" s="2" t="s">
        <v>320</v>
      </c>
      <c r="M103" s="2">
        <v>0</v>
      </c>
      <c r="N103" s="2" t="s">
        <v>560</v>
      </c>
      <c r="O103" s="2" t="s">
        <v>80</v>
      </c>
      <c r="P103" s="2" t="s">
        <v>80</v>
      </c>
      <c r="Q103" s="2" t="s">
        <v>144</v>
      </c>
      <c r="R103" s="2" t="s">
        <v>145</v>
      </c>
      <c r="S103" s="2" t="s">
        <v>561</v>
      </c>
      <c r="T103" s="2" t="s">
        <v>562</v>
      </c>
      <c r="U103" s="2" t="s">
        <v>563</v>
      </c>
      <c r="V103" s="2" t="s">
        <v>562</v>
      </c>
      <c r="W103" s="2" t="s">
        <v>113</v>
      </c>
      <c r="X103" s="38">
        <v>33</v>
      </c>
      <c r="Y103" s="38">
        <v>11</v>
      </c>
      <c r="Z103" s="38">
        <v>22</v>
      </c>
      <c r="AA103" s="38">
        <v>33</v>
      </c>
      <c r="AB103" s="38">
        <v>11</v>
      </c>
      <c r="AC103" s="38">
        <v>22</v>
      </c>
      <c r="AD103" s="38">
        <v>0</v>
      </c>
      <c r="AE103" s="38">
        <v>0</v>
      </c>
      <c r="AF103" s="38">
        <v>0</v>
      </c>
      <c r="AG103" s="38">
        <v>0</v>
      </c>
      <c r="AH103" s="38">
        <v>0</v>
      </c>
      <c r="AI103" s="38">
        <v>0</v>
      </c>
      <c r="AJ103" s="38">
        <v>0</v>
      </c>
      <c r="AK103" s="37">
        <v>0</v>
      </c>
      <c r="AL103" s="40">
        <f t="shared" si="4"/>
        <v>0</v>
      </c>
      <c r="AM103" s="37">
        <f t="shared" si="5"/>
        <v>0</v>
      </c>
      <c r="AN103" s="40">
        <f t="shared" si="6"/>
        <v>0</v>
      </c>
      <c r="AO103" s="37">
        <f t="shared" si="7"/>
        <v>0</v>
      </c>
      <c r="AP103" s="38">
        <v>38</v>
      </c>
      <c r="AQ103" s="38">
        <v>15</v>
      </c>
      <c r="AR103" s="38">
        <v>23</v>
      </c>
      <c r="AS103" s="38">
        <v>18</v>
      </c>
      <c r="AT103" s="38">
        <v>9</v>
      </c>
      <c r="AU103" s="38">
        <v>9</v>
      </c>
      <c r="AV103" s="38">
        <v>12</v>
      </c>
      <c r="AW103" s="38">
        <v>3</v>
      </c>
      <c r="AX103" s="38">
        <v>9</v>
      </c>
      <c r="AY103" s="38">
        <v>38</v>
      </c>
      <c r="AZ103" s="38">
        <v>14</v>
      </c>
      <c r="BA103" s="38">
        <v>24</v>
      </c>
      <c r="BB103" s="38">
        <v>6</v>
      </c>
      <c r="BC103" s="37">
        <v>15.789473684210526</v>
      </c>
      <c r="BD103" s="40">
        <v>5</v>
      </c>
      <c r="BE103" s="37">
        <v>35.714285714285715</v>
      </c>
      <c r="BF103" s="40">
        <v>1</v>
      </c>
      <c r="BG103" s="37">
        <v>4.1666666666666661</v>
      </c>
      <c r="BH103" s="38">
        <v>12</v>
      </c>
      <c r="BI103" s="38">
        <v>12</v>
      </c>
      <c r="BJ103" s="38">
        <v>3</v>
      </c>
      <c r="BK103" s="38">
        <v>9</v>
      </c>
      <c r="BL103" s="37">
        <v>100</v>
      </c>
      <c r="BM103" s="37">
        <v>100</v>
      </c>
      <c r="BN103" s="37">
        <v>100</v>
      </c>
      <c r="BO103" s="38">
        <v>21</v>
      </c>
      <c r="BP103" s="38">
        <v>9</v>
      </c>
      <c r="BQ103" s="38">
        <v>12</v>
      </c>
      <c r="BR103" s="37">
        <v>57.142857142857139</v>
      </c>
      <c r="BS103" s="37">
        <v>33.333333333333329</v>
      </c>
      <c r="BT103" s="37">
        <v>75</v>
      </c>
      <c r="BU103" s="2"/>
      <c r="BV103" s="2"/>
    </row>
    <row r="104" spans="1:74" ht="15.75" x14ac:dyDescent="0.3">
      <c r="A104" s="2" t="s">
        <v>54</v>
      </c>
      <c r="B104" s="2" t="s">
        <v>55</v>
      </c>
      <c r="C104" s="2" t="s">
        <v>105</v>
      </c>
      <c r="D104" s="2" t="s">
        <v>57</v>
      </c>
      <c r="E104" s="2" t="s">
        <v>95</v>
      </c>
      <c r="F104" s="2" t="s">
        <v>106</v>
      </c>
      <c r="G104" s="2" t="s">
        <v>60</v>
      </c>
      <c r="H104" s="2" t="s">
        <v>187</v>
      </c>
      <c r="I104" s="2" t="s">
        <v>62</v>
      </c>
      <c r="J104" s="2" t="s">
        <v>564</v>
      </c>
      <c r="K104" s="2" t="s">
        <v>76</v>
      </c>
      <c r="L104" s="2" t="s">
        <v>320</v>
      </c>
      <c r="M104" s="2">
        <v>0</v>
      </c>
      <c r="N104" s="2" t="s">
        <v>565</v>
      </c>
      <c r="O104" s="2" t="s">
        <v>566</v>
      </c>
      <c r="P104" s="2" t="s">
        <v>80</v>
      </c>
      <c r="Q104" s="2" t="s">
        <v>69</v>
      </c>
      <c r="R104" s="2" t="s">
        <v>70</v>
      </c>
      <c r="S104" s="2" t="s">
        <v>567</v>
      </c>
      <c r="T104" s="2" t="s">
        <v>568</v>
      </c>
      <c r="U104" s="2" t="s">
        <v>569</v>
      </c>
      <c r="V104" s="2" t="s">
        <v>568</v>
      </c>
      <c r="W104" s="2" t="s">
        <v>113</v>
      </c>
      <c r="X104" s="38">
        <v>48</v>
      </c>
      <c r="Y104" s="38">
        <v>17</v>
      </c>
      <c r="Z104" s="38">
        <v>31</v>
      </c>
      <c r="AA104" s="38">
        <v>45</v>
      </c>
      <c r="AB104" s="38">
        <v>14</v>
      </c>
      <c r="AC104" s="38">
        <v>31</v>
      </c>
      <c r="AD104" s="38">
        <v>0</v>
      </c>
      <c r="AE104" s="38">
        <v>0</v>
      </c>
      <c r="AF104" s="38">
        <v>0</v>
      </c>
      <c r="AG104" s="38">
        <v>0</v>
      </c>
      <c r="AH104" s="38">
        <v>0</v>
      </c>
      <c r="AI104" s="38">
        <v>0</v>
      </c>
      <c r="AJ104" s="38">
        <v>3</v>
      </c>
      <c r="AK104" s="37">
        <v>6.25</v>
      </c>
      <c r="AL104" s="40">
        <f t="shared" si="4"/>
        <v>3</v>
      </c>
      <c r="AM104" s="37">
        <f t="shared" si="5"/>
        <v>17.647058823529413</v>
      </c>
      <c r="AN104" s="40">
        <f t="shared" si="6"/>
        <v>0</v>
      </c>
      <c r="AO104" s="37">
        <f t="shared" si="7"/>
        <v>0</v>
      </c>
      <c r="AP104" s="38">
        <v>67</v>
      </c>
      <c r="AQ104" s="38">
        <v>20</v>
      </c>
      <c r="AR104" s="38">
        <v>47</v>
      </c>
      <c r="AS104" s="38">
        <v>36</v>
      </c>
      <c r="AT104" s="38">
        <v>12</v>
      </c>
      <c r="AU104" s="38">
        <v>24</v>
      </c>
      <c r="AV104" s="38">
        <v>13</v>
      </c>
      <c r="AW104" s="38">
        <v>6</v>
      </c>
      <c r="AX104" s="38">
        <v>7</v>
      </c>
      <c r="AY104" s="38">
        <v>55</v>
      </c>
      <c r="AZ104" s="38">
        <v>20</v>
      </c>
      <c r="BA104" s="38">
        <v>35</v>
      </c>
      <c r="BB104" s="38">
        <v>11</v>
      </c>
      <c r="BC104" s="37">
        <v>20</v>
      </c>
      <c r="BD104" s="40">
        <v>6</v>
      </c>
      <c r="BE104" s="37">
        <v>30</v>
      </c>
      <c r="BF104" s="40">
        <v>5</v>
      </c>
      <c r="BG104" s="37">
        <v>14.285714285714285</v>
      </c>
      <c r="BH104" s="38">
        <v>13</v>
      </c>
      <c r="BI104" s="38">
        <v>13</v>
      </c>
      <c r="BJ104" s="38">
        <v>6</v>
      </c>
      <c r="BK104" s="38">
        <v>7</v>
      </c>
      <c r="BL104" s="37">
        <v>100</v>
      </c>
      <c r="BM104" s="37">
        <v>100</v>
      </c>
      <c r="BN104" s="37">
        <v>100</v>
      </c>
      <c r="BO104" s="38">
        <v>20</v>
      </c>
      <c r="BP104" s="38">
        <v>10</v>
      </c>
      <c r="BQ104" s="38">
        <v>10</v>
      </c>
      <c r="BR104" s="37">
        <v>65</v>
      </c>
      <c r="BS104" s="37">
        <v>60</v>
      </c>
      <c r="BT104" s="37">
        <v>70</v>
      </c>
      <c r="BU104" s="2"/>
      <c r="BV104" s="2"/>
    </row>
    <row r="105" spans="1:74" ht="15.75" x14ac:dyDescent="0.3">
      <c r="A105" s="2" t="s">
        <v>54</v>
      </c>
      <c r="B105" s="2" t="s">
        <v>55</v>
      </c>
      <c r="C105" s="2" t="s">
        <v>105</v>
      </c>
      <c r="D105" s="2" t="s">
        <v>57</v>
      </c>
      <c r="E105" s="2" t="s">
        <v>95</v>
      </c>
      <c r="F105" s="2" t="s">
        <v>106</v>
      </c>
      <c r="G105" s="2" t="s">
        <v>186</v>
      </c>
      <c r="H105" s="2" t="s">
        <v>61</v>
      </c>
      <c r="I105" s="2" t="s">
        <v>62</v>
      </c>
      <c r="J105" s="2" t="s">
        <v>570</v>
      </c>
      <c r="K105" s="2" t="s">
        <v>76</v>
      </c>
      <c r="L105" s="2" t="s">
        <v>320</v>
      </c>
      <c r="M105" s="2">
        <v>0</v>
      </c>
      <c r="N105" s="2" t="s">
        <v>571</v>
      </c>
      <c r="O105" s="2" t="s">
        <v>80</v>
      </c>
      <c r="P105" s="2" t="s">
        <v>80</v>
      </c>
      <c r="Q105" s="2" t="s">
        <v>69</v>
      </c>
      <c r="R105" s="2" t="s">
        <v>70</v>
      </c>
      <c r="S105" s="2" t="s">
        <v>572</v>
      </c>
      <c r="T105" s="2" t="s">
        <v>573</v>
      </c>
      <c r="U105" s="2" t="s">
        <v>574</v>
      </c>
      <c r="V105" s="2" t="s">
        <v>573</v>
      </c>
      <c r="W105" s="2" t="s">
        <v>113</v>
      </c>
      <c r="X105" s="38">
        <v>12</v>
      </c>
      <c r="Y105" s="38">
        <v>2</v>
      </c>
      <c r="Z105" s="38">
        <v>10</v>
      </c>
      <c r="AA105" s="38">
        <v>12</v>
      </c>
      <c r="AB105" s="38">
        <v>2</v>
      </c>
      <c r="AC105" s="38">
        <v>10</v>
      </c>
      <c r="AD105" s="38">
        <v>0</v>
      </c>
      <c r="AE105" s="38">
        <v>0</v>
      </c>
      <c r="AF105" s="38">
        <v>0</v>
      </c>
      <c r="AG105" s="38">
        <v>0</v>
      </c>
      <c r="AH105" s="38">
        <v>0</v>
      </c>
      <c r="AI105" s="38">
        <v>0</v>
      </c>
      <c r="AJ105" s="38">
        <v>0</v>
      </c>
      <c r="AK105" s="37">
        <v>0</v>
      </c>
      <c r="AL105" s="40">
        <f t="shared" si="4"/>
        <v>0</v>
      </c>
      <c r="AM105" s="37">
        <f t="shared" si="5"/>
        <v>0</v>
      </c>
      <c r="AN105" s="40">
        <f t="shared" si="6"/>
        <v>0</v>
      </c>
      <c r="AO105" s="37">
        <f t="shared" si="7"/>
        <v>0</v>
      </c>
      <c r="AP105" s="38">
        <v>24</v>
      </c>
      <c r="AQ105" s="38">
        <v>8</v>
      </c>
      <c r="AR105" s="38">
        <v>16</v>
      </c>
      <c r="AS105" s="38">
        <v>12</v>
      </c>
      <c r="AT105" s="38">
        <v>5</v>
      </c>
      <c r="AU105" s="38">
        <v>7</v>
      </c>
      <c r="AV105" s="38">
        <v>1</v>
      </c>
      <c r="AW105" s="38">
        <v>0</v>
      </c>
      <c r="AX105" s="38">
        <v>1</v>
      </c>
      <c r="AY105" s="38">
        <v>25</v>
      </c>
      <c r="AZ105" s="38">
        <v>9</v>
      </c>
      <c r="BA105" s="38">
        <v>16</v>
      </c>
      <c r="BB105" s="38">
        <v>12</v>
      </c>
      <c r="BC105" s="37">
        <v>48</v>
      </c>
      <c r="BD105" s="40">
        <v>6</v>
      </c>
      <c r="BE105" s="37">
        <v>66.666666666666657</v>
      </c>
      <c r="BF105" s="40">
        <v>6</v>
      </c>
      <c r="BG105" s="37">
        <v>37.5</v>
      </c>
      <c r="BH105" s="38">
        <v>1</v>
      </c>
      <c r="BI105" s="38">
        <v>1</v>
      </c>
      <c r="BJ105" s="38">
        <v>0</v>
      </c>
      <c r="BK105" s="38">
        <v>1</v>
      </c>
      <c r="BL105" s="37">
        <v>100</v>
      </c>
      <c r="BM105" s="37" t="s">
        <v>1860</v>
      </c>
      <c r="BN105" s="37">
        <v>100</v>
      </c>
      <c r="BO105" s="38">
        <v>15</v>
      </c>
      <c r="BP105" s="38">
        <v>5</v>
      </c>
      <c r="BQ105" s="38">
        <v>10</v>
      </c>
      <c r="BR105" s="37">
        <v>6.666666666666667</v>
      </c>
      <c r="BS105" s="37">
        <v>0</v>
      </c>
      <c r="BT105" s="37">
        <v>10</v>
      </c>
      <c r="BU105" s="2"/>
      <c r="BV105" s="2"/>
    </row>
    <row r="106" spans="1:74" ht="15.75" x14ac:dyDescent="0.3">
      <c r="A106" s="2" t="s">
        <v>54</v>
      </c>
      <c r="B106" s="2" t="s">
        <v>55</v>
      </c>
      <c r="C106" s="2" t="s">
        <v>105</v>
      </c>
      <c r="D106" s="2" t="s">
        <v>57</v>
      </c>
      <c r="E106" s="2" t="s">
        <v>95</v>
      </c>
      <c r="F106" s="2" t="s">
        <v>106</v>
      </c>
      <c r="G106" s="2" t="s">
        <v>60</v>
      </c>
      <c r="H106" s="2" t="s">
        <v>187</v>
      </c>
      <c r="I106" s="2" t="s">
        <v>85</v>
      </c>
      <c r="J106" s="2" t="s">
        <v>575</v>
      </c>
      <c r="K106" s="2" t="s">
        <v>76</v>
      </c>
      <c r="L106" s="2" t="s">
        <v>576</v>
      </c>
      <c r="M106" s="2">
        <v>0</v>
      </c>
      <c r="N106" s="2" t="s">
        <v>577</v>
      </c>
      <c r="O106" s="2" t="s">
        <v>578</v>
      </c>
      <c r="P106" s="2" t="s">
        <v>80</v>
      </c>
      <c r="Q106" s="2" t="s">
        <v>90</v>
      </c>
      <c r="R106" s="2" t="s">
        <v>91</v>
      </c>
      <c r="S106" s="2" t="s">
        <v>579</v>
      </c>
      <c r="T106" s="2" t="s">
        <v>580</v>
      </c>
      <c r="U106" s="2" t="s">
        <v>581</v>
      </c>
      <c r="V106" s="2" t="s">
        <v>580</v>
      </c>
      <c r="W106" s="2" t="s">
        <v>113</v>
      </c>
      <c r="X106" s="38">
        <v>54</v>
      </c>
      <c r="Y106" s="38">
        <v>23</v>
      </c>
      <c r="Z106" s="38">
        <v>31</v>
      </c>
      <c r="AA106" s="38">
        <v>54</v>
      </c>
      <c r="AB106" s="38">
        <v>23</v>
      </c>
      <c r="AC106" s="38">
        <v>31</v>
      </c>
      <c r="AD106" s="38">
        <v>0</v>
      </c>
      <c r="AE106" s="38">
        <v>0</v>
      </c>
      <c r="AF106" s="38">
        <v>0</v>
      </c>
      <c r="AG106" s="38">
        <v>0</v>
      </c>
      <c r="AH106" s="38">
        <v>0</v>
      </c>
      <c r="AI106" s="38">
        <v>0</v>
      </c>
      <c r="AJ106" s="38">
        <v>0</v>
      </c>
      <c r="AK106" s="37">
        <v>0</v>
      </c>
      <c r="AL106" s="40">
        <f t="shared" si="4"/>
        <v>0</v>
      </c>
      <c r="AM106" s="37">
        <f t="shared" si="5"/>
        <v>0</v>
      </c>
      <c r="AN106" s="40">
        <f t="shared" si="6"/>
        <v>0</v>
      </c>
      <c r="AO106" s="37">
        <f t="shared" si="7"/>
        <v>0</v>
      </c>
      <c r="AP106" s="38">
        <v>85</v>
      </c>
      <c r="AQ106" s="38">
        <v>42</v>
      </c>
      <c r="AR106" s="38">
        <v>43</v>
      </c>
      <c r="AS106" s="38">
        <v>31</v>
      </c>
      <c r="AT106" s="38">
        <v>19</v>
      </c>
      <c r="AU106" s="38">
        <v>12</v>
      </c>
      <c r="AV106" s="38">
        <v>15</v>
      </c>
      <c r="AW106" s="38">
        <v>6</v>
      </c>
      <c r="AX106" s="38">
        <v>9</v>
      </c>
      <c r="AY106" s="38">
        <v>78</v>
      </c>
      <c r="AZ106" s="38">
        <v>36</v>
      </c>
      <c r="BA106" s="38">
        <v>42</v>
      </c>
      <c r="BB106" s="38">
        <v>9</v>
      </c>
      <c r="BC106" s="37">
        <v>11.538461538461538</v>
      </c>
      <c r="BD106" s="40">
        <v>7</v>
      </c>
      <c r="BE106" s="37">
        <v>19.444444444444446</v>
      </c>
      <c r="BF106" s="40">
        <v>2</v>
      </c>
      <c r="BG106" s="37">
        <v>4.7619047619047619</v>
      </c>
      <c r="BH106" s="38">
        <v>15</v>
      </c>
      <c r="BI106" s="38">
        <v>15</v>
      </c>
      <c r="BJ106" s="38">
        <v>6</v>
      </c>
      <c r="BK106" s="38">
        <v>9</v>
      </c>
      <c r="BL106" s="37">
        <v>100</v>
      </c>
      <c r="BM106" s="37">
        <v>100</v>
      </c>
      <c r="BN106" s="37">
        <v>100</v>
      </c>
      <c r="BO106" s="38">
        <v>32</v>
      </c>
      <c r="BP106" s="38">
        <v>18</v>
      </c>
      <c r="BQ106" s="38">
        <v>14</v>
      </c>
      <c r="BR106" s="37">
        <v>46.875</v>
      </c>
      <c r="BS106" s="37">
        <v>33.333333333333329</v>
      </c>
      <c r="BT106" s="37">
        <v>64.285714285714292</v>
      </c>
      <c r="BU106" s="2"/>
      <c r="BV106" s="2"/>
    </row>
    <row r="107" spans="1:74" ht="15.75" x14ac:dyDescent="0.3">
      <c r="A107" s="2" t="s">
        <v>54</v>
      </c>
      <c r="B107" s="2" t="s">
        <v>55</v>
      </c>
      <c r="C107" s="2" t="s">
        <v>105</v>
      </c>
      <c r="D107" s="2" t="s">
        <v>57</v>
      </c>
      <c r="E107" s="2" t="s">
        <v>95</v>
      </c>
      <c r="F107" s="2" t="s">
        <v>106</v>
      </c>
      <c r="G107" s="2" t="s">
        <v>186</v>
      </c>
      <c r="H107" s="2" t="s">
        <v>260</v>
      </c>
      <c r="I107" s="2" t="s">
        <v>130</v>
      </c>
      <c r="J107" s="2" t="s">
        <v>470</v>
      </c>
      <c r="K107" s="2" t="s">
        <v>76</v>
      </c>
      <c r="L107" s="2" t="s">
        <v>320</v>
      </c>
      <c r="M107" s="2">
        <v>0</v>
      </c>
      <c r="N107" s="2" t="s">
        <v>582</v>
      </c>
      <c r="O107" s="2" t="s">
        <v>583</v>
      </c>
      <c r="P107" s="2" t="s">
        <v>80</v>
      </c>
      <c r="Q107" s="2" t="s">
        <v>135</v>
      </c>
      <c r="R107" s="2" t="s">
        <v>136</v>
      </c>
      <c r="S107" s="2" t="s">
        <v>584</v>
      </c>
      <c r="T107" s="2" t="s">
        <v>585</v>
      </c>
      <c r="U107" s="2" t="s">
        <v>586</v>
      </c>
      <c r="V107" s="2" t="s">
        <v>585</v>
      </c>
      <c r="W107" s="2" t="s">
        <v>113</v>
      </c>
      <c r="X107" s="38">
        <v>24</v>
      </c>
      <c r="Y107" s="38">
        <v>9</v>
      </c>
      <c r="Z107" s="38">
        <v>15</v>
      </c>
      <c r="AA107" s="38">
        <v>24</v>
      </c>
      <c r="AB107" s="38">
        <v>9</v>
      </c>
      <c r="AC107" s="38">
        <v>15</v>
      </c>
      <c r="AD107" s="38">
        <v>0</v>
      </c>
      <c r="AE107" s="38">
        <v>0</v>
      </c>
      <c r="AF107" s="38">
        <v>0</v>
      </c>
      <c r="AG107" s="38">
        <v>0</v>
      </c>
      <c r="AH107" s="38">
        <v>0</v>
      </c>
      <c r="AI107" s="38">
        <v>0</v>
      </c>
      <c r="AJ107" s="38">
        <v>0</v>
      </c>
      <c r="AK107" s="37">
        <v>0</v>
      </c>
      <c r="AL107" s="40">
        <f t="shared" si="4"/>
        <v>0</v>
      </c>
      <c r="AM107" s="37">
        <f t="shared" si="5"/>
        <v>0</v>
      </c>
      <c r="AN107" s="40">
        <f t="shared" si="6"/>
        <v>0</v>
      </c>
      <c r="AO107" s="37">
        <f t="shared" si="7"/>
        <v>0</v>
      </c>
      <c r="AP107" s="38">
        <v>29</v>
      </c>
      <c r="AQ107" s="38">
        <v>13</v>
      </c>
      <c r="AR107" s="38">
        <v>16</v>
      </c>
      <c r="AS107" s="38">
        <v>8</v>
      </c>
      <c r="AT107" s="38">
        <v>4</v>
      </c>
      <c r="AU107" s="38">
        <v>4</v>
      </c>
      <c r="AV107" s="38">
        <v>2</v>
      </c>
      <c r="AW107" s="38">
        <v>0</v>
      </c>
      <c r="AX107" s="38">
        <v>2</v>
      </c>
      <c r="AY107" s="38">
        <v>26</v>
      </c>
      <c r="AZ107" s="38">
        <v>10</v>
      </c>
      <c r="BA107" s="38">
        <v>16</v>
      </c>
      <c r="BB107" s="38">
        <v>3</v>
      </c>
      <c r="BC107" s="37">
        <v>11.538461538461538</v>
      </c>
      <c r="BD107" s="40">
        <v>1</v>
      </c>
      <c r="BE107" s="37">
        <v>10</v>
      </c>
      <c r="BF107" s="40">
        <v>2</v>
      </c>
      <c r="BG107" s="37">
        <v>12.5</v>
      </c>
      <c r="BH107" s="38">
        <v>2</v>
      </c>
      <c r="BI107" s="38">
        <v>3</v>
      </c>
      <c r="BJ107" s="38">
        <v>0</v>
      </c>
      <c r="BK107" s="38">
        <v>3</v>
      </c>
      <c r="BL107" s="37">
        <v>66.666666666666657</v>
      </c>
      <c r="BM107" s="37" t="s">
        <v>1860</v>
      </c>
      <c r="BN107" s="37">
        <v>66.666666666666657</v>
      </c>
      <c r="BO107" s="38">
        <v>6</v>
      </c>
      <c r="BP107" s="38">
        <v>3</v>
      </c>
      <c r="BQ107" s="38">
        <v>3</v>
      </c>
      <c r="BR107" s="37">
        <v>33.333333333333329</v>
      </c>
      <c r="BS107" s="37">
        <v>0</v>
      </c>
      <c r="BT107" s="37">
        <v>66.666666666666657</v>
      </c>
      <c r="BU107" s="2"/>
      <c r="BV107" s="2"/>
    </row>
    <row r="108" spans="1:74" ht="15.75" x14ac:dyDescent="0.3">
      <c r="A108" s="2" t="s">
        <v>54</v>
      </c>
      <c r="B108" s="2" t="s">
        <v>55</v>
      </c>
      <c r="C108" s="2" t="s">
        <v>105</v>
      </c>
      <c r="D108" s="2" t="s">
        <v>57</v>
      </c>
      <c r="E108" s="2" t="s">
        <v>95</v>
      </c>
      <c r="F108" s="2" t="s">
        <v>106</v>
      </c>
      <c r="G108" s="2" t="s">
        <v>186</v>
      </c>
      <c r="H108" s="2" t="s">
        <v>187</v>
      </c>
      <c r="I108" s="2" t="s">
        <v>130</v>
      </c>
      <c r="J108" s="2" t="s">
        <v>587</v>
      </c>
      <c r="K108" s="2" t="s">
        <v>76</v>
      </c>
      <c r="L108" s="2" t="s">
        <v>320</v>
      </c>
      <c r="M108" s="2">
        <v>0</v>
      </c>
      <c r="N108" s="2" t="s">
        <v>588</v>
      </c>
      <c r="O108" s="2" t="s">
        <v>80</v>
      </c>
      <c r="P108" s="2" t="s">
        <v>80</v>
      </c>
      <c r="Q108" s="2" t="s">
        <v>135</v>
      </c>
      <c r="R108" s="2" t="s">
        <v>136</v>
      </c>
      <c r="S108" s="2" t="s">
        <v>589</v>
      </c>
      <c r="T108" s="2" t="s">
        <v>590</v>
      </c>
      <c r="U108" s="2" t="s">
        <v>591</v>
      </c>
      <c r="V108" s="2" t="s">
        <v>590</v>
      </c>
      <c r="W108" s="2" t="s">
        <v>113</v>
      </c>
      <c r="X108" s="38">
        <v>63</v>
      </c>
      <c r="Y108" s="38">
        <v>33</v>
      </c>
      <c r="Z108" s="38">
        <v>30</v>
      </c>
      <c r="AA108" s="38">
        <v>63</v>
      </c>
      <c r="AB108" s="38">
        <v>33</v>
      </c>
      <c r="AC108" s="38">
        <v>30</v>
      </c>
      <c r="AD108" s="38">
        <v>0</v>
      </c>
      <c r="AE108" s="38">
        <v>0</v>
      </c>
      <c r="AF108" s="38">
        <v>0</v>
      </c>
      <c r="AG108" s="38">
        <v>0</v>
      </c>
      <c r="AH108" s="38">
        <v>0</v>
      </c>
      <c r="AI108" s="38">
        <v>0</v>
      </c>
      <c r="AJ108" s="38">
        <v>0</v>
      </c>
      <c r="AK108" s="37">
        <v>0</v>
      </c>
      <c r="AL108" s="40">
        <f t="shared" si="4"/>
        <v>0</v>
      </c>
      <c r="AM108" s="37">
        <f t="shared" si="5"/>
        <v>0</v>
      </c>
      <c r="AN108" s="40">
        <f t="shared" si="6"/>
        <v>0</v>
      </c>
      <c r="AO108" s="37">
        <f t="shared" si="7"/>
        <v>0</v>
      </c>
      <c r="AP108" s="38">
        <v>80</v>
      </c>
      <c r="AQ108" s="38">
        <v>45</v>
      </c>
      <c r="AR108" s="38">
        <v>35</v>
      </c>
      <c r="AS108" s="38">
        <v>34</v>
      </c>
      <c r="AT108" s="38">
        <v>17</v>
      </c>
      <c r="AU108" s="38">
        <v>17</v>
      </c>
      <c r="AV108" s="38">
        <v>18</v>
      </c>
      <c r="AW108" s="38">
        <v>5</v>
      </c>
      <c r="AX108" s="38">
        <v>13</v>
      </c>
      <c r="AY108" s="38">
        <v>69</v>
      </c>
      <c r="AZ108" s="38">
        <v>33</v>
      </c>
      <c r="BA108" s="38">
        <v>36</v>
      </c>
      <c r="BB108" s="38">
        <v>5</v>
      </c>
      <c r="BC108" s="37">
        <v>7.2463768115942031</v>
      </c>
      <c r="BD108" s="40">
        <v>0</v>
      </c>
      <c r="BE108" s="37">
        <v>0</v>
      </c>
      <c r="BF108" s="40">
        <v>5</v>
      </c>
      <c r="BG108" s="37">
        <v>13.888888888888889</v>
      </c>
      <c r="BH108" s="38">
        <v>18</v>
      </c>
      <c r="BI108" s="38">
        <v>18</v>
      </c>
      <c r="BJ108" s="38">
        <v>5</v>
      </c>
      <c r="BK108" s="38">
        <v>13</v>
      </c>
      <c r="BL108" s="37">
        <v>100</v>
      </c>
      <c r="BM108" s="37">
        <v>100</v>
      </c>
      <c r="BN108" s="37">
        <v>100</v>
      </c>
      <c r="BO108" s="38">
        <v>25</v>
      </c>
      <c r="BP108" s="38">
        <v>9</v>
      </c>
      <c r="BQ108" s="38">
        <v>16</v>
      </c>
      <c r="BR108" s="37">
        <v>72</v>
      </c>
      <c r="BS108" s="37">
        <v>55.555555555555557</v>
      </c>
      <c r="BT108" s="37">
        <v>81.25</v>
      </c>
      <c r="BU108" s="2"/>
      <c r="BV108" s="2"/>
    </row>
    <row r="109" spans="1:74" ht="15.75" x14ac:dyDescent="0.3">
      <c r="A109" s="2" t="s">
        <v>54</v>
      </c>
      <c r="B109" s="2" t="s">
        <v>55</v>
      </c>
      <c r="C109" s="2" t="s">
        <v>105</v>
      </c>
      <c r="D109" s="2" t="s">
        <v>57</v>
      </c>
      <c r="E109" s="2" t="s">
        <v>95</v>
      </c>
      <c r="F109" s="2" t="s">
        <v>106</v>
      </c>
      <c r="G109" s="2" t="s">
        <v>186</v>
      </c>
      <c r="H109" s="2" t="s">
        <v>260</v>
      </c>
      <c r="I109" s="2" t="s">
        <v>217</v>
      </c>
      <c r="J109" s="2" t="s">
        <v>592</v>
      </c>
      <c r="K109" s="2" t="s">
        <v>76</v>
      </c>
      <c r="L109" s="2" t="s">
        <v>320</v>
      </c>
      <c r="M109" s="2">
        <v>0</v>
      </c>
      <c r="N109" s="2" t="s">
        <v>593</v>
      </c>
      <c r="O109" s="2" t="s">
        <v>80</v>
      </c>
      <c r="P109" s="2" t="s">
        <v>80</v>
      </c>
      <c r="Q109" s="2" t="s">
        <v>135</v>
      </c>
      <c r="R109" s="2" t="s">
        <v>136</v>
      </c>
      <c r="S109" s="2" t="s">
        <v>594</v>
      </c>
      <c r="T109" s="2" t="s">
        <v>595</v>
      </c>
      <c r="U109" s="2" t="s">
        <v>596</v>
      </c>
      <c r="V109" s="2" t="s">
        <v>595</v>
      </c>
      <c r="W109" s="2" t="s">
        <v>113</v>
      </c>
      <c r="X109" s="38">
        <v>23</v>
      </c>
      <c r="Y109" s="38">
        <v>12</v>
      </c>
      <c r="Z109" s="38">
        <v>11</v>
      </c>
      <c r="AA109" s="38">
        <v>16</v>
      </c>
      <c r="AB109" s="38">
        <v>6</v>
      </c>
      <c r="AC109" s="38">
        <v>10</v>
      </c>
      <c r="AD109" s="38">
        <v>6</v>
      </c>
      <c r="AE109" s="38">
        <v>5</v>
      </c>
      <c r="AF109" s="38">
        <v>1</v>
      </c>
      <c r="AG109" s="38">
        <v>0</v>
      </c>
      <c r="AH109" s="38">
        <v>0</v>
      </c>
      <c r="AI109" s="38">
        <v>0</v>
      </c>
      <c r="AJ109" s="38">
        <v>1</v>
      </c>
      <c r="AK109" s="37">
        <v>4.3478260869565215</v>
      </c>
      <c r="AL109" s="40">
        <f t="shared" si="4"/>
        <v>1</v>
      </c>
      <c r="AM109" s="37">
        <f t="shared" si="5"/>
        <v>8.3333333333333321</v>
      </c>
      <c r="AN109" s="40">
        <f t="shared" si="6"/>
        <v>0</v>
      </c>
      <c r="AO109" s="37">
        <f t="shared" si="7"/>
        <v>0</v>
      </c>
      <c r="AP109" s="38">
        <v>27</v>
      </c>
      <c r="AQ109" s="38">
        <v>13</v>
      </c>
      <c r="AR109" s="38">
        <v>14</v>
      </c>
      <c r="AS109" s="38">
        <v>11</v>
      </c>
      <c r="AT109" s="38">
        <v>4</v>
      </c>
      <c r="AU109" s="38">
        <v>7</v>
      </c>
      <c r="AV109" s="38">
        <v>6</v>
      </c>
      <c r="AW109" s="38">
        <v>2</v>
      </c>
      <c r="AX109" s="38">
        <v>4</v>
      </c>
      <c r="AY109" s="38">
        <v>25</v>
      </c>
      <c r="AZ109" s="38">
        <v>13</v>
      </c>
      <c r="BA109" s="38">
        <v>12</v>
      </c>
      <c r="BB109" s="38">
        <v>3</v>
      </c>
      <c r="BC109" s="37">
        <v>12</v>
      </c>
      <c r="BD109" s="40">
        <v>2</v>
      </c>
      <c r="BE109" s="37">
        <v>15.384615384615385</v>
      </c>
      <c r="BF109" s="40">
        <v>1</v>
      </c>
      <c r="BG109" s="37">
        <v>8.3333333333333321</v>
      </c>
      <c r="BH109" s="38">
        <v>6</v>
      </c>
      <c r="BI109" s="38">
        <v>7</v>
      </c>
      <c r="BJ109" s="38">
        <v>2</v>
      </c>
      <c r="BK109" s="38">
        <v>5</v>
      </c>
      <c r="BL109" s="37">
        <v>85.714285714285708</v>
      </c>
      <c r="BM109" s="37">
        <v>100</v>
      </c>
      <c r="BN109" s="37">
        <v>80</v>
      </c>
      <c r="BO109" s="38">
        <v>9</v>
      </c>
      <c r="BP109" s="38">
        <v>4</v>
      </c>
      <c r="BQ109" s="38">
        <v>5</v>
      </c>
      <c r="BR109" s="37">
        <v>66.666666666666657</v>
      </c>
      <c r="BS109" s="37">
        <v>50</v>
      </c>
      <c r="BT109" s="37">
        <v>80</v>
      </c>
      <c r="BU109" s="2"/>
      <c r="BV109" s="2"/>
    </row>
    <row r="110" spans="1:74" ht="15.75" x14ac:dyDescent="0.3">
      <c r="A110" s="2" t="s">
        <v>54</v>
      </c>
      <c r="B110" s="2" t="s">
        <v>55</v>
      </c>
      <c r="C110" s="2" t="s">
        <v>56</v>
      </c>
      <c r="D110" s="2" t="s">
        <v>57</v>
      </c>
      <c r="E110" s="2" t="s">
        <v>95</v>
      </c>
      <c r="F110" s="2" t="s">
        <v>106</v>
      </c>
      <c r="G110" s="2" t="s">
        <v>186</v>
      </c>
      <c r="H110" s="2" t="s">
        <v>187</v>
      </c>
      <c r="I110" s="2" t="s">
        <v>217</v>
      </c>
      <c r="J110" s="2" t="s">
        <v>597</v>
      </c>
      <c r="K110" s="2" t="s">
        <v>76</v>
      </c>
      <c r="L110" s="2" t="s">
        <v>320</v>
      </c>
      <c r="M110" s="2">
        <v>0</v>
      </c>
      <c r="N110" s="2" t="s">
        <v>598</v>
      </c>
      <c r="O110" s="2" t="s">
        <v>599</v>
      </c>
      <c r="P110" s="2" t="s">
        <v>80</v>
      </c>
      <c r="Q110" s="2" t="s">
        <v>135</v>
      </c>
      <c r="R110" s="2" t="s">
        <v>136</v>
      </c>
      <c r="S110" s="2" t="s">
        <v>600</v>
      </c>
      <c r="T110" s="2" t="s">
        <v>601</v>
      </c>
      <c r="U110" s="2" t="s">
        <v>602</v>
      </c>
      <c r="V110" s="2" t="s">
        <v>601</v>
      </c>
      <c r="W110" s="2" t="s">
        <v>113</v>
      </c>
      <c r="X110" s="38">
        <v>75</v>
      </c>
      <c r="Y110" s="38">
        <v>44</v>
      </c>
      <c r="Z110" s="38">
        <v>31</v>
      </c>
      <c r="AA110" s="38">
        <v>66</v>
      </c>
      <c r="AB110" s="38">
        <v>39</v>
      </c>
      <c r="AC110" s="38">
        <v>27</v>
      </c>
      <c r="AD110" s="38">
        <v>3</v>
      </c>
      <c r="AE110" s="38">
        <v>2</v>
      </c>
      <c r="AF110" s="38">
        <v>1</v>
      </c>
      <c r="AG110" s="38">
        <v>0</v>
      </c>
      <c r="AH110" s="38">
        <v>0</v>
      </c>
      <c r="AI110" s="38">
        <v>0</v>
      </c>
      <c r="AJ110" s="38">
        <v>6</v>
      </c>
      <c r="AK110" s="37">
        <v>8</v>
      </c>
      <c r="AL110" s="40">
        <f t="shared" si="4"/>
        <v>3</v>
      </c>
      <c r="AM110" s="37">
        <f t="shared" si="5"/>
        <v>6.8181818181818175</v>
      </c>
      <c r="AN110" s="40">
        <f t="shared" si="6"/>
        <v>3</v>
      </c>
      <c r="AO110" s="37">
        <f t="shared" si="7"/>
        <v>9.67741935483871</v>
      </c>
      <c r="AP110" s="38">
        <v>84</v>
      </c>
      <c r="AQ110" s="38">
        <v>47</v>
      </c>
      <c r="AR110" s="38">
        <v>37</v>
      </c>
      <c r="AS110" s="38">
        <v>29</v>
      </c>
      <c r="AT110" s="38">
        <v>15</v>
      </c>
      <c r="AU110" s="38">
        <v>14</v>
      </c>
      <c r="AV110" s="38">
        <v>10</v>
      </c>
      <c r="AW110" s="38">
        <v>4</v>
      </c>
      <c r="AX110" s="38">
        <v>6</v>
      </c>
      <c r="AY110" s="38">
        <v>75</v>
      </c>
      <c r="AZ110" s="38">
        <v>42</v>
      </c>
      <c r="BA110" s="38">
        <v>33</v>
      </c>
      <c r="BB110" s="38">
        <v>10</v>
      </c>
      <c r="BC110" s="37">
        <v>13.333333333333334</v>
      </c>
      <c r="BD110" s="40">
        <v>6</v>
      </c>
      <c r="BE110" s="37">
        <v>14.285714285714285</v>
      </c>
      <c r="BF110" s="40">
        <v>4</v>
      </c>
      <c r="BG110" s="37">
        <v>12.121212121212121</v>
      </c>
      <c r="BH110" s="38">
        <v>10</v>
      </c>
      <c r="BI110" s="38">
        <v>10</v>
      </c>
      <c r="BJ110" s="38">
        <v>4</v>
      </c>
      <c r="BK110" s="38">
        <v>6</v>
      </c>
      <c r="BL110" s="37">
        <v>100</v>
      </c>
      <c r="BM110" s="37">
        <v>100</v>
      </c>
      <c r="BN110" s="37">
        <v>100</v>
      </c>
      <c r="BO110" s="38">
        <v>18</v>
      </c>
      <c r="BP110" s="38">
        <v>12</v>
      </c>
      <c r="BQ110" s="38">
        <v>6</v>
      </c>
      <c r="BR110" s="37">
        <v>55.555555555555557</v>
      </c>
      <c r="BS110" s="37">
        <v>33.333333333333329</v>
      </c>
      <c r="BT110" s="37">
        <v>100</v>
      </c>
      <c r="BU110" s="2"/>
      <c r="BV110" s="2"/>
    </row>
    <row r="111" spans="1:74" ht="15.75" x14ac:dyDescent="0.3">
      <c r="A111" s="2" t="s">
        <v>54</v>
      </c>
      <c r="B111" s="2" t="s">
        <v>55</v>
      </c>
      <c r="C111" s="2" t="s">
        <v>56</v>
      </c>
      <c r="D111" s="2" t="s">
        <v>57</v>
      </c>
      <c r="E111" s="2" t="s">
        <v>95</v>
      </c>
      <c r="F111" s="2" t="s">
        <v>106</v>
      </c>
      <c r="G111" s="2" t="s">
        <v>186</v>
      </c>
      <c r="H111" s="2" t="s">
        <v>187</v>
      </c>
      <c r="I111" s="2" t="s">
        <v>506</v>
      </c>
      <c r="J111" s="2" t="s">
        <v>603</v>
      </c>
      <c r="K111" s="2" t="s">
        <v>76</v>
      </c>
      <c r="L111" s="2" t="s">
        <v>320</v>
      </c>
      <c r="M111" s="2">
        <v>0</v>
      </c>
      <c r="N111" s="2" t="s">
        <v>604</v>
      </c>
      <c r="O111" s="2" t="s">
        <v>605</v>
      </c>
      <c r="P111" s="2" t="s">
        <v>80</v>
      </c>
      <c r="Q111" s="2" t="s">
        <v>69</v>
      </c>
      <c r="R111" s="2" t="s">
        <v>70</v>
      </c>
      <c r="S111" s="2" t="s">
        <v>606</v>
      </c>
      <c r="T111" s="2" t="s">
        <v>607</v>
      </c>
      <c r="U111" s="2" t="s">
        <v>608</v>
      </c>
      <c r="V111" s="2" t="s">
        <v>607</v>
      </c>
      <c r="W111" s="2" t="s">
        <v>113</v>
      </c>
      <c r="X111" s="38">
        <v>24</v>
      </c>
      <c r="Y111" s="38">
        <v>4</v>
      </c>
      <c r="Z111" s="38">
        <v>20</v>
      </c>
      <c r="AA111" s="38">
        <v>23</v>
      </c>
      <c r="AB111" s="38">
        <v>4</v>
      </c>
      <c r="AC111" s="38">
        <v>19</v>
      </c>
      <c r="AD111" s="38">
        <v>0</v>
      </c>
      <c r="AE111" s="38">
        <v>0</v>
      </c>
      <c r="AF111" s="38">
        <v>0</v>
      </c>
      <c r="AG111" s="38">
        <v>0</v>
      </c>
      <c r="AH111" s="38">
        <v>0</v>
      </c>
      <c r="AI111" s="38">
        <v>0</v>
      </c>
      <c r="AJ111" s="38">
        <v>1</v>
      </c>
      <c r="AK111" s="37">
        <v>4.1666666666666661</v>
      </c>
      <c r="AL111" s="40">
        <f t="shared" si="4"/>
        <v>0</v>
      </c>
      <c r="AM111" s="37">
        <f t="shared" si="5"/>
        <v>0</v>
      </c>
      <c r="AN111" s="40">
        <f t="shared" si="6"/>
        <v>1</v>
      </c>
      <c r="AO111" s="37">
        <f t="shared" si="7"/>
        <v>5</v>
      </c>
      <c r="AP111" s="38">
        <v>37</v>
      </c>
      <c r="AQ111" s="38">
        <v>7</v>
      </c>
      <c r="AR111" s="38">
        <v>30</v>
      </c>
      <c r="AS111" s="38">
        <v>19</v>
      </c>
      <c r="AT111" s="38">
        <v>4</v>
      </c>
      <c r="AU111" s="38">
        <v>15</v>
      </c>
      <c r="AV111" s="38">
        <v>5</v>
      </c>
      <c r="AW111" s="38">
        <v>1</v>
      </c>
      <c r="AX111" s="38">
        <v>4</v>
      </c>
      <c r="AY111" s="38">
        <v>26</v>
      </c>
      <c r="AZ111" s="38">
        <v>4</v>
      </c>
      <c r="BA111" s="38">
        <v>22</v>
      </c>
      <c r="BB111" s="38">
        <v>3</v>
      </c>
      <c r="BC111" s="37">
        <v>11.538461538461538</v>
      </c>
      <c r="BD111" s="40">
        <v>0</v>
      </c>
      <c r="BE111" s="37">
        <v>0</v>
      </c>
      <c r="BF111" s="40">
        <v>3</v>
      </c>
      <c r="BG111" s="37">
        <v>13.636363636363635</v>
      </c>
      <c r="BH111" s="38">
        <v>5</v>
      </c>
      <c r="BI111" s="38">
        <v>4</v>
      </c>
      <c r="BJ111" s="38">
        <v>1</v>
      </c>
      <c r="BK111" s="38">
        <v>3</v>
      </c>
      <c r="BL111" s="37">
        <v>125</v>
      </c>
      <c r="BM111" s="37">
        <v>100</v>
      </c>
      <c r="BN111" s="37">
        <v>133.33333333333331</v>
      </c>
      <c r="BO111" s="38">
        <v>9</v>
      </c>
      <c r="BP111" s="38">
        <v>1</v>
      </c>
      <c r="BQ111" s="38">
        <v>8</v>
      </c>
      <c r="BR111" s="37">
        <v>55.555555555555557</v>
      </c>
      <c r="BS111" s="37">
        <v>100</v>
      </c>
      <c r="BT111" s="37">
        <v>50</v>
      </c>
      <c r="BU111" s="2"/>
      <c r="BV111" s="2"/>
    </row>
    <row r="112" spans="1:74" ht="15.75" x14ac:dyDescent="0.3">
      <c r="A112" s="2" t="s">
        <v>54</v>
      </c>
      <c r="B112" s="2" t="s">
        <v>55</v>
      </c>
      <c r="C112" s="2" t="s">
        <v>105</v>
      </c>
      <c r="D112" s="2" t="s">
        <v>57</v>
      </c>
      <c r="E112" s="2" t="s">
        <v>95</v>
      </c>
      <c r="F112" s="2" t="s">
        <v>106</v>
      </c>
      <c r="G112" s="2" t="s">
        <v>186</v>
      </c>
      <c r="H112" s="2" t="s">
        <v>187</v>
      </c>
      <c r="I112" s="2" t="s">
        <v>506</v>
      </c>
      <c r="J112" s="2" t="s">
        <v>609</v>
      </c>
      <c r="K112" s="2" t="s">
        <v>76</v>
      </c>
      <c r="L112" s="2" t="s">
        <v>320</v>
      </c>
      <c r="M112" s="2">
        <v>0</v>
      </c>
      <c r="N112" s="2" t="s">
        <v>610</v>
      </c>
      <c r="O112" s="2" t="s">
        <v>611</v>
      </c>
      <c r="P112" s="2" t="s">
        <v>80</v>
      </c>
      <c r="Q112" s="2" t="s">
        <v>69</v>
      </c>
      <c r="R112" s="2" t="s">
        <v>70</v>
      </c>
      <c r="S112" s="2" t="s">
        <v>612</v>
      </c>
      <c r="T112" s="2" t="s">
        <v>613</v>
      </c>
      <c r="U112" s="2" t="s">
        <v>614</v>
      </c>
      <c r="V112" s="2" t="s">
        <v>613</v>
      </c>
      <c r="W112" s="2" t="s">
        <v>113</v>
      </c>
      <c r="X112" s="38">
        <v>36</v>
      </c>
      <c r="Y112" s="38">
        <v>6</v>
      </c>
      <c r="Z112" s="38">
        <v>30</v>
      </c>
      <c r="AA112" s="38">
        <v>36</v>
      </c>
      <c r="AB112" s="38">
        <v>6</v>
      </c>
      <c r="AC112" s="38">
        <v>30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7">
        <v>0</v>
      </c>
      <c r="AL112" s="40">
        <f t="shared" si="4"/>
        <v>0</v>
      </c>
      <c r="AM112" s="37">
        <f t="shared" si="5"/>
        <v>0</v>
      </c>
      <c r="AN112" s="40">
        <f t="shared" si="6"/>
        <v>0</v>
      </c>
      <c r="AO112" s="37">
        <f t="shared" si="7"/>
        <v>0</v>
      </c>
      <c r="AP112" s="38">
        <v>48</v>
      </c>
      <c r="AQ112" s="38">
        <v>10</v>
      </c>
      <c r="AR112" s="38">
        <v>38</v>
      </c>
      <c r="AS112" s="38">
        <v>17</v>
      </c>
      <c r="AT112" s="38">
        <v>5</v>
      </c>
      <c r="AU112" s="38">
        <v>12</v>
      </c>
      <c r="AV112" s="38">
        <v>5</v>
      </c>
      <c r="AW112" s="38">
        <v>1</v>
      </c>
      <c r="AX112" s="38">
        <v>4</v>
      </c>
      <c r="AY112" s="38">
        <v>41</v>
      </c>
      <c r="AZ112" s="38">
        <v>7</v>
      </c>
      <c r="BA112" s="38">
        <v>34</v>
      </c>
      <c r="BB112" s="38">
        <v>5</v>
      </c>
      <c r="BC112" s="37">
        <v>12.195121951219512</v>
      </c>
      <c r="BD112" s="40">
        <v>1</v>
      </c>
      <c r="BE112" s="37">
        <v>14.285714285714285</v>
      </c>
      <c r="BF112" s="40">
        <v>4</v>
      </c>
      <c r="BG112" s="37">
        <v>11.76470588235294</v>
      </c>
      <c r="BH112" s="38">
        <v>5</v>
      </c>
      <c r="BI112" s="38">
        <v>5</v>
      </c>
      <c r="BJ112" s="38">
        <v>1</v>
      </c>
      <c r="BK112" s="38">
        <v>4</v>
      </c>
      <c r="BL112" s="37">
        <v>100</v>
      </c>
      <c r="BM112" s="37">
        <v>100</v>
      </c>
      <c r="BN112" s="37">
        <v>100</v>
      </c>
      <c r="BO112" s="38">
        <v>13</v>
      </c>
      <c r="BP112" s="38">
        <v>5</v>
      </c>
      <c r="BQ112" s="38">
        <v>8</v>
      </c>
      <c r="BR112" s="37">
        <v>38.461538461538467</v>
      </c>
      <c r="BS112" s="37">
        <v>20</v>
      </c>
      <c r="BT112" s="37">
        <v>50</v>
      </c>
      <c r="BU112" s="2"/>
      <c r="BV112" s="2"/>
    </row>
    <row r="113" spans="1:74" ht="15.75" x14ac:dyDescent="0.3">
      <c r="A113" s="2" t="s">
        <v>54</v>
      </c>
      <c r="B113" s="2" t="s">
        <v>55</v>
      </c>
      <c r="C113" s="2" t="s">
        <v>105</v>
      </c>
      <c r="D113" s="2" t="s">
        <v>57</v>
      </c>
      <c r="E113" s="2" t="s">
        <v>95</v>
      </c>
      <c r="F113" s="2" t="s">
        <v>106</v>
      </c>
      <c r="G113" s="2" t="s">
        <v>186</v>
      </c>
      <c r="H113" s="2" t="s">
        <v>260</v>
      </c>
      <c r="I113" s="2" t="s">
        <v>150</v>
      </c>
      <c r="J113" s="2" t="s">
        <v>477</v>
      </c>
      <c r="K113" s="2" t="s">
        <v>76</v>
      </c>
      <c r="L113" s="2" t="s">
        <v>320</v>
      </c>
      <c r="M113" s="2">
        <v>0</v>
      </c>
      <c r="N113" s="2" t="s">
        <v>615</v>
      </c>
      <c r="O113" s="2" t="s">
        <v>616</v>
      </c>
      <c r="P113" s="2" t="s">
        <v>80</v>
      </c>
      <c r="Q113" s="2" t="s">
        <v>144</v>
      </c>
      <c r="R113" s="2" t="s">
        <v>145</v>
      </c>
      <c r="S113" s="2" t="s">
        <v>617</v>
      </c>
      <c r="T113" s="2" t="s">
        <v>618</v>
      </c>
      <c r="U113" s="2" t="s">
        <v>619</v>
      </c>
      <c r="V113" s="2" t="s">
        <v>618</v>
      </c>
      <c r="W113" s="2" t="s">
        <v>113</v>
      </c>
      <c r="X113" s="38">
        <v>31</v>
      </c>
      <c r="Y113" s="38">
        <v>15</v>
      </c>
      <c r="Z113" s="38">
        <v>16</v>
      </c>
      <c r="AA113" s="38">
        <v>31</v>
      </c>
      <c r="AB113" s="38">
        <v>15</v>
      </c>
      <c r="AC113" s="38">
        <v>16</v>
      </c>
      <c r="AD113" s="38">
        <v>0</v>
      </c>
      <c r="AE113" s="38">
        <v>0</v>
      </c>
      <c r="AF113" s="38">
        <v>0</v>
      </c>
      <c r="AG113" s="38">
        <v>0</v>
      </c>
      <c r="AH113" s="38">
        <v>0</v>
      </c>
      <c r="AI113" s="38">
        <v>0</v>
      </c>
      <c r="AJ113" s="38">
        <v>0</v>
      </c>
      <c r="AK113" s="37">
        <v>0</v>
      </c>
      <c r="AL113" s="40">
        <f t="shared" si="4"/>
        <v>0</v>
      </c>
      <c r="AM113" s="37">
        <f t="shared" si="5"/>
        <v>0</v>
      </c>
      <c r="AN113" s="40">
        <f t="shared" si="6"/>
        <v>0</v>
      </c>
      <c r="AO113" s="37">
        <f t="shared" si="7"/>
        <v>0</v>
      </c>
      <c r="AP113" s="38">
        <v>22</v>
      </c>
      <c r="AQ113" s="38">
        <v>11</v>
      </c>
      <c r="AR113" s="38">
        <v>11</v>
      </c>
      <c r="AS113" s="38">
        <v>7</v>
      </c>
      <c r="AT113" s="38">
        <v>3</v>
      </c>
      <c r="AU113" s="38">
        <v>4</v>
      </c>
      <c r="AV113" s="38">
        <v>10</v>
      </c>
      <c r="AW113" s="38">
        <v>7</v>
      </c>
      <c r="AX113" s="38">
        <v>3</v>
      </c>
      <c r="AY113" s="38">
        <v>31</v>
      </c>
      <c r="AZ113" s="38">
        <v>15</v>
      </c>
      <c r="BA113" s="38">
        <v>16</v>
      </c>
      <c r="BB113" s="38">
        <v>6</v>
      </c>
      <c r="BC113" s="37">
        <v>19.35483870967742</v>
      </c>
      <c r="BD113" s="40">
        <v>0</v>
      </c>
      <c r="BE113" s="37">
        <v>0</v>
      </c>
      <c r="BF113" s="40">
        <v>6</v>
      </c>
      <c r="BG113" s="37">
        <v>37.5</v>
      </c>
      <c r="BH113" s="38">
        <v>10</v>
      </c>
      <c r="BI113" s="38">
        <v>10</v>
      </c>
      <c r="BJ113" s="38">
        <v>5</v>
      </c>
      <c r="BK113" s="38">
        <v>5</v>
      </c>
      <c r="BL113" s="37">
        <v>100</v>
      </c>
      <c r="BM113" s="37">
        <v>140</v>
      </c>
      <c r="BN113" s="37">
        <v>60</v>
      </c>
      <c r="BO113" s="38">
        <v>11</v>
      </c>
      <c r="BP113" s="38">
        <v>6</v>
      </c>
      <c r="BQ113" s="38">
        <v>5</v>
      </c>
      <c r="BR113" s="37">
        <v>90.909090909090907</v>
      </c>
      <c r="BS113" s="37">
        <v>116.66666666666667</v>
      </c>
      <c r="BT113" s="37">
        <v>60</v>
      </c>
      <c r="BU113" s="2"/>
      <c r="BV113" s="2"/>
    </row>
    <row r="114" spans="1:74" ht="15.75" x14ac:dyDescent="0.3">
      <c r="A114" s="2" t="s">
        <v>54</v>
      </c>
      <c r="B114" s="2" t="s">
        <v>55</v>
      </c>
      <c r="C114" s="2" t="s">
        <v>56</v>
      </c>
      <c r="D114" s="2" t="s">
        <v>57</v>
      </c>
      <c r="E114" s="2" t="s">
        <v>95</v>
      </c>
      <c r="F114" s="2" t="s">
        <v>106</v>
      </c>
      <c r="G114" s="2" t="s">
        <v>186</v>
      </c>
      <c r="H114" s="2" t="s">
        <v>517</v>
      </c>
      <c r="I114" s="2" t="s">
        <v>210</v>
      </c>
      <c r="J114" s="2" t="s">
        <v>620</v>
      </c>
      <c r="K114" s="2" t="s">
        <v>76</v>
      </c>
      <c r="L114" s="2" t="s">
        <v>320</v>
      </c>
      <c r="M114" s="2">
        <v>0</v>
      </c>
      <c r="N114" s="2" t="s">
        <v>621</v>
      </c>
      <c r="O114" s="2" t="s">
        <v>80</v>
      </c>
      <c r="P114" s="2" t="s">
        <v>80</v>
      </c>
      <c r="Q114" s="2" t="s">
        <v>144</v>
      </c>
      <c r="R114" s="2" t="s">
        <v>145</v>
      </c>
      <c r="S114" s="2" t="s">
        <v>622</v>
      </c>
      <c r="T114" s="2" t="s">
        <v>623</v>
      </c>
      <c r="U114" s="2" t="s">
        <v>624</v>
      </c>
      <c r="V114" s="2" t="s">
        <v>623</v>
      </c>
      <c r="W114" s="2" t="s">
        <v>113</v>
      </c>
      <c r="X114" s="38">
        <v>19</v>
      </c>
      <c r="Y114" s="38">
        <v>9</v>
      </c>
      <c r="Z114" s="38">
        <v>10</v>
      </c>
      <c r="AA114" s="38">
        <v>19</v>
      </c>
      <c r="AB114" s="38">
        <v>9</v>
      </c>
      <c r="AC114" s="38">
        <v>10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7">
        <v>0</v>
      </c>
      <c r="AL114" s="40">
        <f t="shared" si="4"/>
        <v>0</v>
      </c>
      <c r="AM114" s="37">
        <f t="shared" si="5"/>
        <v>0</v>
      </c>
      <c r="AN114" s="40">
        <f t="shared" si="6"/>
        <v>0</v>
      </c>
      <c r="AO114" s="37">
        <f t="shared" si="7"/>
        <v>0</v>
      </c>
      <c r="AP114" s="38">
        <v>24</v>
      </c>
      <c r="AQ114" s="38">
        <v>11</v>
      </c>
      <c r="AR114" s="38">
        <v>13</v>
      </c>
      <c r="AS114" s="38">
        <v>11</v>
      </c>
      <c r="AT114" s="38">
        <v>6</v>
      </c>
      <c r="AU114" s="38">
        <v>5</v>
      </c>
      <c r="AV114" s="38">
        <v>6</v>
      </c>
      <c r="AW114" s="38">
        <v>4</v>
      </c>
      <c r="AX114" s="38">
        <v>2</v>
      </c>
      <c r="AY114" s="38">
        <v>20</v>
      </c>
      <c r="AZ114" s="38">
        <v>9</v>
      </c>
      <c r="BA114" s="38">
        <v>11</v>
      </c>
      <c r="BB114" s="38">
        <v>1</v>
      </c>
      <c r="BC114" s="37">
        <v>5</v>
      </c>
      <c r="BD114" s="40">
        <v>0</v>
      </c>
      <c r="BE114" s="37">
        <v>0</v>
      </c>
      <c r="BF114" s="40">
        <v>1</v>
      </c>
      <c r="BG114" s="37">
        <v>9.0909090909090917</v>
      </c>
      <c r="BH114" s="38">
        <v>6</v>
      </c>
      <c r="BI114" s="38">
        <v>6</v>
      </c>
      <c r="BJ114" s="38">
        <v>4</v>
      </c>
      <c r="BK114" s="38">
        <v>2</v>
      </c>
      <c r="BL114" s="37">
        <v>100</v>
      </c>
      <c r="BM114" s="37">
        <v>100</v>
      </c>
      <c r="BN114" s="37">
        <v>100</v>
      </c>
      <c r="BO114" s="38">
        <v>7</v>
      </c>
      <c r="BP114" s="38">
        <v>5</v>
      </c>
      <c r="BQ114" s="38">
        <v>2</v>
      </c>
      <c r="BR114" s="37">
        <v>85.714285714285708</v>
      </c>
      <c r="BS114" s="37">
        <v>80</v>
      </c>
      <c r="BT114" s="37">
        <v>100</v>
      </c>
      <c r="BU114" s="2"/>
      <c r="BV114" s="2"/>
    </row>
    <row r="115" spans="1:74" ht="15.75" x14ac:dyDescent="0.3">
      <c r="A115" s="2" t="s">
        <v>54</v>
      </c>
      <c r="B115" s="2" t="s">
        <v>55</v>
      </c>
      <c r="C115" s="2" t="s">
        <v>56</v>
      </c>
      <c r="D115" s="2" t="s">
        <v>57</v>
      </c>
      <c r="E115" s="2" t="s">
        <v>95</v>
      </c>
      <c r="F115" s="2" t="s">
        <v>106</v>
      </c>
      <c r="G115" s="2" t="s">
        <v>186</v>
      </c>
      <c r="H115" s="2" t="s">
        <v>61</v>
      </c>
      <c r="I115" s="2" t="s">
        <v>275</v>
      </c>
      <c r="J115" s="2" t="s">
        <v>625</v>
      </c>
      <c r="K115" s="2" t="s">
        <v>76</v>
      </c>
      <c r="L115" s="2" t="s">
        <v>320</v>
      </c>
      <c r="M115" s="2">
        <v>0</v>
      </c>
      <c r="N115" s="2" t="s">
        <v>626</v>
      </c>
      <c r="O115" s="2" t="s">
        <v>80</v>
      </c>
      <c r="P115" s="2" t="s">
        <v>80</v>
      </c>
      <c r="Q115" s="2" t="s">
        <v>135</v>
      </c>
      <c r="R115" s="2" t="s">
        <v>136</v>
      </c>
      <c r="S115" s="2" t="s">
        <v>627</v>
      </c>
      <c r="T115" s="2" t="s">
        <v>628</v>
      </c>
      <c r="U115" s="2" t="s">
        <v>629</v>
      </c>
      <c r="V115" s="2" t="s">
        <v>628</v>
      </c>
      <c r="W115" s="2" t="s">
        <v>113</v>
      </c>
      <c r="X115" s="38">
        <v>37</v>
      </c>
      <c r="Y115" s="38">
        <v>16</v>
      </c>
      <c r="Z115" s="38">
        <v>21</v>
      </c>
      <c r="AA115" s="38">
        <v>37</v>
      </c>
      <c r="AB115" s="38">
        <v>16</v>
      </c>
      <c r="AC115" s="38">
        <v>21</v>
      </c>
      <c r="AD115" s="38">
        <v>0</v>
      </c>
      <c r="AE115" s="38">
        <v>0</v>
      </c>
      <c r="AF115" s="38">
        <v>0</v>
      </c>
      <c r="AG115" s="38">
        <v>0</v>
      </c>
      <c r="AH115" s="38">
        <v>0</v>
      </c>
      <c r="AI115" s="38">
        <v>0</v>
      </c>
      <c r="AJ115" s="38">
        <v>0</v>
      </c>
      <c r="AK115" s="37">
        <v>0</v>
      </c>
      <c r="AL115" s="40">
        <f t="shared" si="4"/>
        <v>0</v>
      </c>
      <c r="AM115" s="37">
        <f t="shared" si="5"/>
        <v>0</v>
      </c>
      <c r="AN115" s="40">
        <f t="shared" si="6"/>
        <v>0</v>
      </c>
      <c r="AO115" s="37">
        <f t="shared" si="7"/>
        <v>0</v>
      </c>
      <c r="AP115" s="38">
        <v>43</v>
      </c>
      <c r="AQ115" s="38">
        <v>21</v>
      </c>
      <c r="AR115" s="38">
        <v>22</v>
      </c>
      <c r="AS115" s="38">
        <v>16</v>
      </c>
      <c r="AT115" s="38">
        <v>6</v>
      </c>
      <c r="AU115" s="38">
        <v>10</v>
      </c>
      <c r="AV115" s="38">
        <v>7</v>
      </c>
      <c r="AW115" s="38">
        <v>0</v>
      </c>
      <c r="AX115" s="38">
        <v>7</v>
      </c>
      <c r="AY115" s="38">
        <v>42</v>
      </c>
      <c r="AZ115" s="38">
        <v>18</v>
      </c>
      <c r="BA115" s="38">
        <v>24</v>
      </c>
      <c r="BB115" s="38">
        <v>8</v>
      </c>
      <c r="BC115" s="37">
        <v>19.047619047619047</v>
      </c>
      <c r="BD115" s="40">
        <v>3</v>
      </c>
      <c r="BE115" s="37">
        <v>16.666666666666664</v>
      </c>
      <c r="BF115" s="40">
        <v>5</v>
      </c>
      <c r="BG115" s="37">
        <v>20.833333333333336</v>
      </c>
      <c r="BH115" s="38">
        <v>7</v>
      </c>
      <c r="BI115" s="38">
        <v>7</v>
      </c>
      <c r="BJ115" s="38">
        <v>0</v>
      </c>
      <c r="BK115" s="38">
        <v>7</v>
      </c>
      <c r="BL115" s="37">
        <v>100</v>
      </c>
      <c r="BM115" s="37" t="s">
        <v>1860</v>
      </c>
      <c r="BN115" s="37">
        <v>100</v>
      </c>
      <c r="BO115" s="38">
        <v>13</v>
      </c>
      <c r="BP115" s="38">
        <v>2</v>
      </c>
      <c r="BQ115" s="38">
        <v>11</v>
      </c>
      <c r="BR115" s="37">
        <v>53.846153846153847</v>
      </c>
      <c r="BS115" s="37">
        <v>0</v>
      </c>
      <c r="BT115" s="37">
        <v>63.636363636363633</v>
      </c>
      <c r="BU115" s="2"/>
      <c r="BV115" s="2"/>
    </row>
    <row r="116" spans="1:74" ht="15.75" x14ac:dyDescent="0.3">
      <c r="A116" s="2" t="s">
        <v>54</v>
      </c>
      <c r="B116" s="2" t="s">
        <v>55</v>
      </c>
      <c r="C116" s="2" t="s">
        <v>105</v>
      </c>
      <c r="D116" s="2" t="s">
        <v>57</v>
      </c>
      <c r="E116" s="2" t="s">
        <v>95</v>
      </c>
      <c r="F116" s="2" t="s">
        <v>106</v>
      </c>
      <c r="G116" s="2" t="s">
        <v>186</v>
      </c>
      <c r="H116" s="2" t="s">
        <v>187</v>
      </c>
      <c r="I116" s="2" t="s">
        <v>275</v>
      </c>
      <c r="J116" s="2" t="s">
        <v>630</v>
      </c>
      <c r="K116" s="2" t="s">
        <v>76</v>
      </c>
      <c r="L116" s="2" t="s">
        <v>320</v>
      </c>
      <c r="M116" s="2">
        <v>0</v>
      </c>
      <c r="N116" s="2" t="s">
        <v>631</v>
      </c>
      <c r="O116" s="2" t="s">
        <v>632</v>
      </c>
      <c r="P116" s="2" t="s">
        <v>80</v>
      </c>
      <c r="Q116" s="2" t="s">
        <v>135</v>
      </c>
      <c r="R116" s="2" t="s">
        <v>136</v>
      </c>
      <c r="S116" s="2" t="s">
        <v>633</v>
      </c>
      <c r="T116" s="2" t="s">
        <v>634</v>
      </c>
      <c r="U116" s="2" t="s">
        <v>635</v>
      </c>
      <c r="V116" s="2" t="s">
        <v>634</v>
      </c>
      <c r="W116" s="2" t="s">
        <v>113</v>
      </c>
      <c r="X116" s="38">
        <v>49</v>
      </c>
      <c r="Y116" s="38">
        <v>19</v>
      </c>
      <c r="Z116" s="38">
        <v>30</v>
      </c>
      <c r="AA116" s="38">
        <v>49</v>
      </c>
      <c r="AB116" s="38">
        <v>19</v>
      </c>
      <c r="AC116" s="38">
        <v>30</v>
      </c>
      <c r="AD116" s="38">
        <v>0</v>
      </c>
      <c r="AE116" s="38">
        <v>0</v>
      </c>
      <c r="AF116" s="38">
        <v>0</v>
      </c>
      <c r="AG116" s="38">
        <v>0</v>
      </c>
      <c r="AH116" s="38">
        <v>0</v>
      </c>
      <c r="AI116" s="38">
        <v>0</v>
      </c>
      <c r="AJ116" s="38">
        <v>0</v>
      </c>
      <c r="AK116" s="37">
        <v>0</v>
      </c>
      <c r="AL116" s="40">
        <f t="shared" si="4"/>
        <v>0</v>
      </c>
      <c r="AM116" s="37">
        <f t="shared" si="5"/>
        <v>0</v>
      </c>
      <c r="AN116" s="40">
        <f t="shared" si="6"/>
        <v>0</v>
      </c>
      <c r="AO116" s="37">
        <f t="shared" si="7"/>
        <v>0</v>
      </c>
      <c r="AP116" s="38">
        <v>70</v>
      </c>
      <c r="AQ116" s="38">
        <v>25</v>
      </c>
      <c r="AR116" s="38">
        <v>45</v>
      </c>
      <c r="AS116" s="38">
        <v>35</v>
      </c>
      <c r="AT116" s="38">
        <v>12</v>
      </c>
      <c r="AU116" s="38">
        <v>23</v>
      </c>
      <c r="AV116" s="38">
        <v>11</v>
      </c>
      <c r="AW116" s="38">
        <v>4</v>
      </c>
      <c r="AX116" s="38">
        <v>7</v>
      </c>
      <c r="AY116" s="38">
        <v>49</v>
      </c>
      <c r="AZ116" s="38">
        <v>19</v>
      </c>
      <c r="BA116" s="38">
        <v>30</v>
      </c>
      <c r="BB116" s="38">
        <v>3</v>
      </c>
      <c r="BC116" s="37">
        <v>6.1224489795918364</v>
      </c>
      <c r="BD116" s="40">
        <v>2</v>
      </c>
      <c r="BE116" s="37">
        <v>10.526315789473683</v>
      </c>
      <c r="BF116" s="40">
        <v>1</v>
      </c>
      <c r="BG116" s="37">
        <v>3.3333333333333335</v>
      </c>
      <c r="BH116" s="38">
        <v>11</v>
      </c>
      <c r="BI116" s="38">
        <v>11</v>
      </c>
      <c r="BJ116" s="38">
        <v>4</v>
      </c>
      <c r="BK116" s="38">
        <v>7</v>
      </c>
      <c r="BL116" s="37">
        <v>100</v>
      </c>
      <c r="BM116" s="37">
        <v>100</v>
      </c>
      <c r="BN116" s="37">
        <v>100</v>
      </c>
      <c r="BO116" s="38">
        <v>22</v>
      </c>
      <c r="BP116" s="38">
        <v>13</v>
      </c>
      <c r="BQ116" s="38">
        <v>9</v>
      </c>
      <c r="BR116" s="37">
        <v>50</v>
      </c>
      <c r="BS116" s="37">
        <v>30.76923076923077</v>
      </c>
      <c r="BT116" s="37">
        <v>77.777777777777786</v>
      </c>
      <c r="BU116" s="2"/>
      <c r="BV116" s="2"/>
    </row>
    <row r="117" spans="1:74" ht="15.75" x14ac:dyDescent="0.3">
      <c r="A117" s="2" t="s">
        <v>54</v>
      </c>
      <c r="B117" s="2" t="s">
        <v>55</v>
      </c>
      <c r="C117" s="2" t="s">
        <v>105</v>
      </c>
      <c r="D117" s="2" t="s">
        <v>57</v>
      </c>
      <c r="E117" s="2" t="s">
        <v>95</v>
      </c>
      <c r="F117" s="2" t="s">
        <v>106</v>
      </c>
      <c r="G117" s="2" t="s">
        <v>186</v>
      </c>
      <c r="H117" s="2" t="s">
        <v>61</v>
      </c>
      <c r="I117" s="2" t="s">
        <v>140</v>
      </c>
      <c r="J117" s="2" t="s">
        <v>636</v>
      </c>
      <c r="K117" s="2" t="s">
        <v>76</v>
      </c>
      <c r="L117" s="2" t="s">
        <v>320</v>
      </c>
      <c r="M117" s="2">
        <v>0</v>
      </c>
      <c r="N117" s="2" t="s">
        <v>637</v>
      </c>
      <c r="O117" s="2" t="s">
        <v>638</v>
      </c>
      <c r="P117" s="2" t="s">
        <v>80</v>
      </c>
      <c r="Q117" s="2" t="s">
        <v>144</v>
      </c>
      <c r="R117" s="2" t="s">
        <v>145</v>
      </c>
      <c r="S117" s="2" t="s">
        <v>639</v>
      </c>
      <c r="T117" s="2" t="s">
        <v>640</v>
      </c>
      <c r="U117" s="2" t="s">
        <v>641</v>
      </c>
      <c r="V117" s="2" t="s">
        <v>640</v>
      </c>
      <c r="W117" s="2" t="s">
        <v>113</v>
      </c>
      <c r="X117" s="38">
        <v>52</v>
      </c>
      <c r="Y117" s="38">
        <v>19</v>
      </c>
      <c r="Z117" s="38">
        <v>33</v>
      </c>
      <c r="AA117" s="38">
        <v>52</v>
      </c>
      <c r="AB117" s="38">
        <v>19</v>
      </c>
      <c r="AC117" s="38">
        <v>33</v>
      </c>
      <c r="AD117" s="38">
        <v>0</v>
      </c>
      <c r="AE117" s="38">
        <v>0</v>
      </c>
      <c r="AF117" s="38">
        <v>0</v>
      </c>
      <c r="AG117" s="38">
        <v>0</v>
      </c>
      <c r="AH117" s="38">
        <v>0</v>
      </c>
      <c r="AI117" s="38">
        <v>0</v>
      </c>
      <c r="AJ117" s="38">
        <v>0</v>
      </c>
      <c r="AK117" s="37">
        <v>0</v>
      </c>
      <c r="AL117" s="40">
        <f t="shared" si="4"/>
        <v>0</v>
      </c>
      <c r="AM117" s="37">
        <f t="shared" si="5"/>
        <v>0</v>
      </c>
      <c r="AN117" s="40">
        <f t="shared" si="6"/>
        <v>0</v>
      </c>
      <c r="AO117" s="37">
        <f t="shared" si="7"/>
        <v>0</v>
      </c>
      <c r="AP117" s="38">
        <v>57</v>
      </c>
      <c r="AQ117" s="38">
        <v>24</v>
      </c>
      <c r="AR117" s="38">
        <v>33</v>
      </c>
      <c r="AS117" s="38">
        <v>18</v>
      </c>
      <c r="AT117" s="38">
        <v>9</v>
      </c>
      <c r="AU117" s="38">
        <v>9</v>
      </c>
      <c r="AV117" s="38">
        <v>13</v>
      </c>
      <c r="AW117" s="38">
        <v>4</v>
      </c>
      <c r="AX117" s="38">
        <v>9</v>
      </c>
      <c r="AY117" s="38">
        <v>57</v>
      </c>
      <c r="AZ117" s="38">
        <v>20</v>
      </c>
      <c r="BA117" s="38">
        <v>37</v>
      </c>
      <c r="BB117" s="38">
        <v>5</v>
      </c>
      <c r="BC117" s="37">
        <v>8.7719298245614024</v>
      </c>
      <c r="BD117" s="40">
        <v>1</v>
      </c>
      <c r="BE117" s="37">
        <v>5</v>
      </c>
      <c r="BF117" s="40">
        <v>4</v>
      </c>
      <c r="BG117" s="37">
        <v>10.810810810810811</v>
      </c>
      <c r="BH117" s="38">
        <v>13</v>
      </c>
      <c r="BI117" s="38">
        <v>13</v>
      </c>
      <c r="BJ117" s="38">
        <v>4</v>
      </c>
      <c r="BK117" s="38">
        <v>9</v>
      </c>
      <c r="BL117" s="37">
        <v>100</v>
      </c>
      <c r="BM117" s="37">
        <v>100</v>
      </c>
      <c r="BN117" s="37">
        <v>100</v>
      </c>
      <c r="BO117" s="38">
        <v>19</v>
      </c>
      <c r="BP117" s="38">
        <v>8</v>
      </c>
      <c r="BQ117" s="38">
        <v>11</v>
      </c>
      <c r="BR117" s="37">
        <v>68.421052631578945</v>
      </c>
      <c r="BS117" s="37">
        <v>50</v>
      </c>
      <c r="BT117" s="37">
        <v>81.818181818181827</v>
      </c>
      <c r="BU117" s="2"/>
      <c r="BV117" s="2"/>
    </row>
    <row r="118" spans="1:74" ht="15.75" x14ac:dyDescent="0.3">
      <c r="A118" s="2" t="s">
        <v>54</v>
      </c>
      <c r="B118" s="2" t="s">
        <v>55</v>
      </c>
      <c r="C118" s="2" t="s">
        <v>105</v>
      </c>
      <c r="D118" s="2" t="s">
        <v>57</v>
      </c>
      <c r="E118" s="2" t="s">
        <v>95</v>
      </c>
      <c r="F118" s="2" t="s">
        <v>106</v>
      </c>
      <c r="G118" s="2" t="s">
        <v>186</v>
      </c>
      <c r="H118" s="2" t="s">
        <v>260</v>
      </c>
      <c r="I118" s="2" t="s">
        <v>140</v>
      </c>
      <c r="J118" s="2" t="s">
        <v>642</v>
      </c>
      <c r="K118" s="2" t="s">
        <v>76</v>
      </c>
      <c r="L118" s="2" t="s">
        <v>320</v>
      </c>
      <c r="M118" s="2">
        <v>0</v>
      </c>
      <c r="N118" s="2" t="s">
        <v>643</v>
      </c>
      <c r="O118" s="2" t="s">
        <v>80</v>
      </c>
      <c r="P118" s="2" t="s">
        <v>80</v>
      </c>
      <c r="Q118" s="2" t="s">
        <v>144</v>
      </c>
      <c r="R118" s="2" t="s">
        <v>145</v>
      </c>
      <c r="S118" s="2" t="s">
        <v>644</v>
      </c>
      <c r="T118" s="2" t="s">
        <v>645</v>
      </c>
      <c r="U118" s="2" t="s">
        <v>646</v>
      </c>
      <c r="V118" s="2" t="s">
        <v>645</v>
      </c>
      <c r="W118" s="2" t="s">
        <v>113</v>
      </c>
      <c r="X118" s="38">
        <v>23</v>
      </c>
      <c r="Y118" s="38">
        <v>17</v>
      </c>
      <c r="Z118" s="38">
        <v>6</v>
      </c>
      <c r="AA118" s="38">
        <v>23</v>
      </c>
      <c r="AB118" s="38">
        <v>17</v>
      </c>
      <c r="AC118" s="38">
        <v>6</v>
      </c>
      <c r="AD118" s="38">
        <v>0</v>
      </c>
      <c r="AE118" s="38">
        <v>0</v>
      </c>
      <c r="AF118" s="38">
        <v>0</v>
      </c>
      <c r="AG118" s="38">
        <v>0</v>
      </c>
      <c r="AH118" s="38">
        <v>0</v>
      </c>
      <c r="AI118" s="38">
        <v>0</v>
      </c>
      <c r="AJ118" s="38">
        <v>0</v>
      </c>
      <c r="AK118" s="37">
        <v>0</v>
      </c>
      <c r="AL118" s="40">
        <f t="shared" si="4"/>
        <v>0</v>
      </c>
      <c r="AM118" s="37">
        <f t="shared" si="5"/>
        <v>0</v>
      </c>
      <c r="AN118" s="40">
        <f t="shared" si="6"/>
        <v>0</v>
      </c>
      <c r="AO118" s="37">
        <f t="shared" si="7"/>
        <v>0</v>
      </c>
      <c r="AP118" s="38">
        <v>25</v>
      </c>
      <c r="AQ118" s="38">
        <v>16</v>
      </c>
      <c r="AR118" s="38">
        <v>9</v>
      </c>
      <c r="AS118" s="38">
        <v>9</v>
      </c>
      <c r="AT118" s="38">
        <v>3</v>
      </c>
      <c r="AU118" s="38">
        <v>6</v>
      </c>
      <c r="AV118" s="38">
        <v>6</v>
      </c>
      <c r="AW118" s="38">
        <v>3</v>
      </c>
      <c r="AX118" s="38">
        <v>3</v>
      </c>
      <c r="AY118" s="38">
        <v>26</v>
      </c>
      <c r="AZ118" s="38">
        <v>18</v>
      </c>
      <c r="BA118" s="38">
        <v>8</v>
      </c>
      <c r="BB118" s="38">
        <v>4</v>
      </c>
      <c r="BC118" s="37">
        <v>15.384615384615385</v>
      </c>
      <c r="BD118" s="40">
        <v>2</v>
      </c>
      <c r="BE118" s="37">
        <v>11.111111111111111</v>
      </c>
      <c r="BF118" s="40">
        <v>2</v>
      </c>
      <c r="BG118" s="37">
        <v>25</v>
      </c>
      <c r="BH118" s="38">
        <v>6</v>
      </c>
      <c r="BI118" s="38">
        <v>6</v>
      </c>
      <c r="BJ118" s="38">
        <v>3</v>
      </c>
      <c r="BK118" s="38">
        <v>3</v>
      </c>
      <c r="BL118" s="37">
        <v>100</v>
      </c>
      <c r="BM118" s="37">
        <v>100</v>
      </c>
      <c r="BN118" s="37">
        <v>100</v>
      </c>
      <c r="BO118" s="38">
        <v>10</v>
      </c>
      <c r="BP118" s="38">
        <v>5</v>
      </c>
      <c r="BQ118" s="38">
        <v>5</v>
      </c>
      <c r="BR118" s="37">
        <v>60</v>
      </c>
      <c r="BS118" s="37">
        <v>60</v>
      </c>
      <c r="BT118" s="37">
        <v>60</v>
      </c>
      <c r="BU118" s="2"/>
      <c r="BV118" s="2"/>
    </row>
    <row r="119" spans="1:74" ht="15.75" x14ac:dyDescent="0.3">
      <c r="A119" s="2" t="s">
        <v>54</v>
      </c>
      <c r="B119" s="2" t="s">
        <v>55</v>
      </c>
      <c r="C119" s="2" t="s">
        <v>105</v>
      </c>
      <c r="D119" s="2" t="s">
        <v>57</v>
      </c>
      <c r="E119" s="2" t="s">
        <v>95</v>
      </c>
      <c r="F119" s="2" t="s">
        <v>106</v>
      </c>
      <c r="G119" s="2" t="s">
        <v>186</v>
      </c>
      <c r="H119" s="2" t="s">
        <v>187</v>
      </c>
      <c r="I119" s="2" t="s">
        <v>304</v>
      </c>
      <c r="J119" s="2" t="s">
        <v>647</v>
      </c>
      <c r="K119" s="2" t="s">
        <v>76</v>
      </c>
      <c r="L119" s="2" t="s">
        <v>320</v>
      </c>
      <c r="M119" s="2">
        <v>0</v>
      </c>
      <c r="N119" s="2" t="s">
        <v>648</v>
      </c>
      <c r="O119" s="2" t="s">
        <v>649</v>
      </c>
      <c r="P119" s="2" t="s">
        <v>80</v>
      </c>
      <c r="Q119" s="2" t="s">
        <v>135</v>
      </c>
      <c r="R119" s="2" t="s">
        <v>136</v>
      </c>
      <c r="S119" s="2" t="s">
        <v>650</v>
      </c>
      <c r="T119" s="2" t="s">
        <v>651</v>
      </c>
      <c r="U119" s="2" t="s">
        <v>652</v>
      </c>
      <c r="V119" s="2" t="s">
        <v>651</v>
      </c>
      <c r="W119" s="2" t="s">
        <v>113</v>
      </c>
      <c r="X119" s="38">
        <v>24</v>
      </c>
      <c r="Y119" s="38">
        <v>12</v>
      </c>
      <c r="Z119" s="38">
        <v>12</v>
      </c>
      <c r="AA119" s="38">
        <v>20</v>
      </c>
      <c r="AB119" s="38">
        <v>9</v>
      </c>
      <c r="AC119" s="38">
        <v>11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4</v>
      </c>
      <c r="AK119" s="37">
        <v>16.666666666666664</v>
      </c>
      <c r="AL119" s="40">
        <f t="shared" si="4"/>
        <v>3</v>
      </c>
      <c r="AM119" s="37">
        <f t="shared" si="5"/>
        <v>25</v>
      </c>
      <c r="AN119" s="40">
        <f t="shared" si="6"/>
        <v>1</v>
      </c>
      <c r="AO119" s="37">
        <f t="shared" si="7"/>
        <v>8.3333333333333321</v>
      </c>
      <c r="AP119" s="38">
        <v>24</v>
      </c>
      <c r="AQ119" s="38">
        <v>12</v>
      </c>
      <c r="AR119" s="38">
        <v>12</v>
      </c>
      <c r="AS119" s="38">
        <v>12</v>
      </c>
      <c r="AT119" s="38">
        <v>7</v>
      </c>
      <c r="AU119" s="38">
        <v>5</v>
      </c>
      <c r="AV119" s="38">
        <v>8</v>
      </c>
      <c r="AW119" s="38">
        <v>4</v>
      </c>
      <c r="AX119" s="38">
        <v>4</v>
      </c>
      <c r="AY119" s="38">
        <v>24</v>
      </c>
      <c r="AZ119" s="38">
        <v>12</v>
      </c>
      <c r="BA119" s="38">
        <v>12</v>
      </c>
      <c r="BB119" s="38">
        <v>4</v>
      </c>
      <c r="BC119" s="37">
        <v>16.666666666666664</v>
      </c>
      <c r="BD119" s="40">
        <v>3</v>
      </c>
      <c r="BE119" s="37">
        <v>25</v>
      </c>
      <c r="BF119" s="40">
        <v>1</v>
      </c>
      <c r="BG119" s="37">
        <v>8.3333333333333321</v>
      </c>
      <c r="BH119" s="38">
        <v>8</v>
      </c>
      <c r="BI119" s="38">
        <v>9</v>
      </c>
      <c r="BJ119" s="38">
        <v>5</v>
      </c>
      <c r="BK119" s="38">
        <v>4</v>
      </c>
      <c r="BL119" s="37">
        <v>88.888888888888886</v>
      </c>
      <c r="BM119" s="37">
        <v>80</v>
      </c>
      <c r="BN119" s="37">
        <v>100</v>
      </c>
      <c r="BO119" s="38">
        <v>11</v>
      </c>
      <c r="BP119" s="38">
        <v>7</v>
      </c>
      <c r="BQ119" s="38">
        <v>4</v>
      </c>
      <c r="BR119" s="37">
        <v>72.727272727272734</v>
      </c>
      <c r="BS119" s="37">
        <v>57.142857142857139</v>
      </c>
      <c r="BT119" s="37">
        <v>100</v>
      </c>
      <c r="BU119" s="2"/>
      <c r="BV119" s="2"/>
    </row>
    <row r="120" spans="1:74" ht="15.75" x14ac:dyDescent="0.3">
      <c r="A120" s="2" t="s">
        <v>54</v>
      </c>
      <c r="B120" s="2" t="s">
        <v>55</v>
      </c>
      <c r="C120" s="2" t="s">
        <v>105</v>
      </c>
      <c r="D120" s="2" t="s">
        <v>57</v>
      </c>
      <c r="E120" s="2" t="s">
        <v>95</v>
      </c>
      <c r="F120" s="2" t="s">
        <v>106</v>
      </c>
      <c r="G120" s="2" t="s">
        <v>186</v>
      </c>
      <c r="H120" s="2" t="s">
        <v>61</v>
      </c>
      <c r="I120" s="2" t="s">
        <v>304</v>
      </c>
      <c r="J120" s="2" t="s">
        <v>653</v>
      </c>
      <c r="K120" s="2" t="s">
        <v>76</v>
      </c>
      <c r="L120" s="2" t="s">
        <v>320</v>
      </c>
      <c r="M120" s="2">
        <v>0</v>
      </c>
      <c r="N120" s="2" t="s">
        <v>654</v>
      </c>
      <c r="O120" s="2" t="s">
        <v>80</v>
      </c>
      <c r="P120" s="2" t="s">
        <v>80</v>
      </c>
      <c r="Q120" s="2" t="s">
        <v>135</v>
      </c>
      <c r="R120" s="2" t="s">
        <v>136</v>
      </c>
      <c r="S120" s="2" t="s">
        <v>655</v>
      </c>
      <c r="T120" s="2" t="s">
        <v>656</v>
      </c>
      <c r="U120" s="2" t="s">
        <v>657</v>
      </c>
      <c r="V120" s="2" t="s">
        <v>656</v>
      </c>
      <c r="W120" s="2" t="s">
        <v>113</v>
      </c>
      <c r="X120" s="38">
        <v>26</v>
      </c>
      <c r="Y120" s="38">
        <v>12</v>
      </c>
      <c r="Z120" s="38">
        <v>14</v>
      </c>
      <c r="AA120" s="38">
        <v>26</v>
      </c>
      <c r="AB120" s="38">
        <v>12</v>
      </c>
      <c r="AC120" s="38">
        <v>14</v>
      </c>
      <c r="AD120" s="38">
        <v>0</v>
      </c>
      <c r="AE120" s="38">
        <v>0</v>
      </c>
      <c r="AF120" s="38">
        <v>0</v>
      </c>
      <c r="AG120" s="38">
        <v>0</v>
      </c>
      <c r="AH120" s="38">
        <v>0</v>
      </c>
      <c r="AI120" s="38">
        <v>0</v>
      </c>
      <c r="AJ120" s="38">
        <v>0</v>
      </c>
      <c r="AK120" s="37">
        <v>0</v>
      </c>
      <c r="AL120" s="40">
        <f t="shared" si="4"/>
        <v>0</v>
      </c>
      <c r="AM120" s="37">
        <f t="shared" si="5"/>
        <v>0</v>
      </c>
      <c r="AN120" s="40">
        <f t="shared" si="6"/>
        <v>0</v>
      </c>
      <c r="AO120" s="37">
        <f t="shared" si="7"/>
        <v>0</v>
      </c>
      <c r="AP120" s="38">
        <v>26</v>
      </c>
      <c r="AQ120" s="38">
        <v>13</v>
      </c>
      <c r="AR120" s="38">
        <v>13</v>
      </c>
      <c r="AS120" s="38">
        <v>7</v>
      </c>
      <c r="AT120" s="38">
        <v>3</v>
      </c>
      <c r="AU120" s="38">
        <v>4</v>
      </c>
      <c r="AV120" s="38">
        <v>6</v>
      </c>
      <c r="AW120" s="38">
        <v>1</v>
      </c>
      <c r="AX120" s="38">
        <v>5</v>
      </c>
      <c r="AY120" s="38">
        <v>28</v>
      </c>
      <c r="AZ120" s="38">
        <v>13</v>
      </c>
      <c r="BA120" s="38">
        <v>15</v>
      </c>
      <c r="BB120" s="38">
        <v>3</v>
      </c>
      <c r="BC120" s="37">
        <v>10.714285714285714</v>
      </c>
      <c r="BD120" s="40">
        <v>2</v>
      </c>
      <c r="BE120" s="37">
        <v>15.384615384615385</v>
      </c>
      <c r="BF120" s="40">
        <v>1</v>
      </c>
      <c r="BG120" s="37">
        <v>6.666666666666667</v>
      </c>
      <c r="BH120" s="38">
        <v>6</v>
      </c>
      <c r="BI120" s="38">
        <v>7</v>
      </c>
      <c r="BJ120" s="38">
        <v>2</v>
      </c>
      <c r="BK120" s="38">
        <v>5</v>
      </c>
      <c r="BL120" s="37">
        <v>85.714285714285708</v>
      </c>
      <c r="BM120" s="37">
        <v>50</v>
      </c>
      <c r="BN120" s="37">
        <v>100</v>
      </c>
      <c r="BO120" s="38">
        <v>8</v>
      </c>
      <c r="BP120" s="38">
        <v>2</v>
      </c>
      <c r="BQ120" s="38">
        <v>6</v>
      </c>
      <c r="BR120" s="37">
        <v>75</v>
      </c>
      <c r="BS120" s="37">
        <v>50</v>
      </c>
      <c r="BT120" s="37">
        <v>83.333333333333343</v>
      </c>
      <c r="BU120" s="2"/>
      <c r="BV120" s="2"/>
    </row>
    <row r="121" spans="1:74" ht="15.75" x14ac:dyDescent="0.3">
      <c r="A121" s="2" t="s">
        <v>54</v>
      </c>
      <c r="B121" s="2" t="s">
        <v>55</v>
      </c>
      <c r="C121" s="2" t="s">
        <v>56</v>
      </c>
      <c r="D121" s="2" t="s">
        <v>57</v>
      </c>
      <c r="E121" s="2" t="s">
        <v>95</v>
      </c>
      <c r="F121" s="2" t="s">
        <v>106</v>
      </c>
      <c r="G121" s="2" t="s">
        <v>186</v>
      </c>
      <c r="H121" s="2" t="s">
        <v>187</v>
      </c>
      <c r="I121" s="2" t="s">
        <v>114</v>
      </c>
      <c r="J121" s="2" t="s">
        <v>658</v>
      </c>
      <c r="K121" s="2" t="s">
        <v>76</v>
      </c>
      <c r="L121" s="2" t="s">
        <v>320</v>
      </c>
      <c r="M121" s="2">
        <v>0</v>
      </c>
      <c r="N121" s="2" t="s">
        <v>659</v>
      </c>
      <c r="O121" s="2" t="s">
        <v>660</v>
      </c>
      <c r="P121" s="2" t="s">
        <v>80</v>
      </c>
      <c r="Q121" s="2" t="s">
        <v>90</v>
      </c>
      <c r="R121" s="2" t="s">
        <v>91</v>
      </c>
      <c r="S121" s="2" t="s">
        <v>661</v>
      </c>
      <c r="T121" s="2" t="s">
        <v>662</v>
      </c>
      <c r="U121" s="2" t="s">
        <v>663</v>
      </c>
      <c r="V121" s="2" t="s">
        <v>662</v>
      </c>
      <c r="W121" s="2" t="s">
        <v>113</v>
      </c>
      <c r="X121" s="38">
        <v>10</v>
      </c>
      <c r="Y121" s="38">
        <v>2</v>
      </c>
      <c r="Z121" s="38">
        <v>8</v>
      </c>
      <c r="AA121" s="38">
        <v>10</v>
      </c>
      <c r="AB121" s="38">
        <v>2</v>
      </c>
      <c r="AC121" s="38">
        <v>8</v>
      </c>
      <c r="AD121" s="38">
        <v>0</v>
      </c>
      <c r="AE121" s="38">
        <v>0</v>
      </c>
      <c r="AF121" s="38">
        <v>0</v>
      </c>
      <c r="AG121" s="38">
        <v>0</v>
      </c>
      <c r="AH121" s="38">
        <v>0</v>
      </c>
      <c r="AI121" s="38">
        <v>0</v>
      </c>
      <c r="AJ121" s="38">
        <v>0</v>
      </c>
      <c r="AK121" s="37">
        <v>0</v>
      </c>
      <c r="AL121" s="40">
        <f t="shared" si="4"/>
        <v>0</v>
      </c>
      <c r="AM121" s="37">
        <f t="shared" si="5"/>
        <v>0</v>
      </c>
      <c r="AN121" s="40">
        <f t="shared" si="6"/>
        <v>0</v>
      </c>
      <c r="AO121" s="37">
        <f t="shared" si="7"/>
        <v>0</v>
      </c>
      <c r="AP121" s="38">
        <v>12</v>
      </c>
      <c r="AQ121" s="38">
        <v>3</v>
      </c>
      <c r="AR121" s="38">
        <v>9</v>
      </c>
      <c r="AS121" s="38">
        <v>4</v>
      </c>
      <c r="AT121" s="38">
        <v>1</v>
      </c>
      <c r="AU121" s="38">
        <v>3</v>
      </c>
      <c r="AV121" s="38">
        <v>10</v>
      </c>
      <c r="AW121" s="38">
        <v>2</v>
      </c>
      <c r="AX121" s="38">
        <v>8</v>
      </c>
      <c r="AY121" s="38">
        <v>10</v>
      </c>
      <c r="AZ121" s="38">
        <v>2</v>
      </c>
      <c r="BA121" s="38">
        <v>8</v>
      </c>
      <c r="BB121" s="38">
        <v>-8</v>
      </c>
      <c r="BC121" s="37">
        <v>-80</v>
      </c>
      <c r="BD121" s="40">
        <v>-2</v>
      </c>
      <c r="BE121" s="37">
        <v>-100</v>
      </c>
      <c r="BF121" s="40">
        <v>-6</v>
      </c>
      <c r="BG121" s="37">
        <v>-75</v>
      </c>
      <c r="BH121" s="38">
        <v>10</v>
      </c>
      <c r="BI121" s="38">
        <v>1</v>
      </c>
      <c r="BJ121" s="38">
        <v>0</v>
      </c>
      <c r="BK121" s="38">
        <v>1</v>
      </c>
      <c r="BL121" s="37">
        <v>1000</v>
      </c>
      <c r="BM121" s="37" t="s">
        <v>1860</v>
      </c>
      <c r="BN121" s="37">
        <v>800</v>
      </c>
      <c r="BO121" s="38">
        <v>3</v>
      </c>
      <c r="BP121" s="38">
        <v>1</v>
      </c>
      <c r="BQ121" s="38">
        <v>2</v>
      </c>
      <c r="BR121" s="37">
        <v>333.33333333333337</v>
      </c>
      <c r="BS121" s="37">
        <v>200</v>
      </c>
      <c r="BT121" s="37">
        <v>400</v>
      </c>
      <c r="BU121" s="2"/>
      <c r="BV121" s="2"/>
    </row>
    <row r="122" spans="1:74" ht="15.75" x14ac:dyDescent="0.3">
      <c r="A122" s="2" t="s">
        <v>54</v>
      </c>
      <c r="B122" s="2" t="s">
        <v>55</v>
      </c>
      <c r="C122" s="2" t="s">
        <v>105</v>
      </c>
      <c r="D122" s="2" t="s">
        <v>57</v>
      </c>
      <c r="E122" s="2" t="s">
        <v>95</v>
      </c>
      <c r="F122" s="2" t="s">
        <v>106</v>
      </c>
      <c r="G122" s="2" t="s">
        <v>186</v>
      </c>
      <c r="H122" s="2" t="s">
        <v>187</v>
      </c>
      <c r="I122" s="2" t="s">
        <v>114</v>
      </c>
      <c r="J122" s="2" t="s">
        <v>664</v>
      </c>
      <c r="K122" s="2" t="s">
        <v>76</v>
      </c>
      <c r="L122" s="2" t="s">
        <v>320</v>
      </c>
      <c r="M122" s="2">
        <v>0</v>
      </c>
      <c r="N122" s="2" t="s">
        <v>665</v>
      </c>
      <c r="O122" s="2" t="s">
        <v>80</v>
      </c>
      <c r="P122" s="2" t="s">
        <v>80</v>
      </c>
      <c r="Q122" s="2" t="s">
        <v>90</v>
      </c>
      <c r="R122" s="2" t="s">
        <v>91</v>
      </c>
      <c r="S122" s="2" t="s">
        <v>666</v>
      </c>
      <c r="T122" s="2" t="s">
        <v>667</v>
      </c>
      <c r="U122" s="2" t="s">
        <v>668</v>
      </c>
      <c r="V122" s="2" t="s">
        <v>667</v>
      </c>
      <c r="W122" s="2" t="s">
        <v>113</v>
      </c>
      <c r="X122" s="38">
        <v>24</v>
      </c>
      <c r="Y122" s="38">
        <v>6</v>
      </c>
      <c r="Z122" s="38">
        <v>18</v>
      </c>
      <c r="AA122" s="38">
        <v>24</v>
      </c>
      <c r="AB122" s="38">
        <v>6</v>
      </c>
      <c r="AC122" s="38">
        <v>18</v>
      </c>
      <c r="AD122" s="38">
        <v>0</v>
      </c>
      <c r="AE122" s="38">
        <v>0</v>
      </c>
      <c r="AF122" s="38">
        <v>0</v>
      </c>
      <c r="AG122" s="38">
        <v>0</v>
      </c>
      <c r="AH122" s="38">
        <v>0</v>
      </c>
      <c r="AI122" s="38">
        <v>0</v>
      </c>
      <c r="AJ122" s="38">
        <v>0</v>
      </c>
      <c r="AK122" s="37">
        <v>0</v>
      </c>
      <c r="AL122" s="40">
        <f t="shared" si="4"/>
        <v>0</v>
      </c>
      <c r="AM122" s="37">
        <f t="shared" si="5"/>
        <v>0</v>
      </c>
      <c r="AN122" s="40">
        <f t="shared" si="6"/>
        <v>0</v>
      </c>
      <c r="AO122" s="37">
        <f t="shared" si="7"/>
        <v>0</v>
      </c>
      <c r="AP122" s="38">
        <v>32</v>
      </c>
      <c r="AQ122" s="38">
        <v>7</v>
      </c>
      <c r="AR122" s="38">
        <v>25</v>
      </c>
      <c r="AS122" s="38">
        <v>15</v>
      </c>
      <c r="AT122" s="38">
        <v>1</v>
      </c>
      <c r="AU122" s="38">
        <v>14</v>
      </c>
      <c r="AV122" s="38">
        <v>0</v>
      </c>
      <c r="AW122" s="38">
        <v>0</v>
      </c>
      <c r="AX122" s="38">
        <v>0</v>
      </c>
      <c r="AY122" s="38">
        <v>26</v>
      </c>
      <c r="AZ122" s="38">
        <v>7</v>
      </c>
      <c r="BA122" s="38">
        <v>19</v>
      </c>
      <c r="BB122" s="38">
        <v>9</v>
      </c>
      <c r="BC122" s="37">
        <v>34.615384615384613</v>
      </c>
      <c r="BD122" s="40">
        <v>1</v>
      </c>
      <c r="BE122" s="37">
        <v>14.285714285714285</v>
      </c>
      <c r="BF122" s="40">
        <v>8</v>
      </c>
      <c r="BG122" s="37">
        <v>42.105263157894733</v>
      </c>
      <c r="BH122" s="38">
        <v>0</v>
      </c>
      <c r="BI122" s="38">
        <v>7</v>
      </c>
      <c r="BJ122" s="38">
        <v>0</v>
      </c>
      <c r="BK122" s="38">
        <v>7</v>
      </c>
      <c r="BL122" s="37">
        <v>0</v>
      </c>
      <c r="BM122" s="37" t="s">
        <v>1860</v>
      </c>
      <c r="BN122" s="37">
        <v>0</v>
      </c>
      <c r="BO122" s="38">
        <v>12</v>
      </c>
      <c r="BP122" s="38">
        <v>2</v>
      </c>
      <c r="BQ122" s="38">
        <v>10</v>
      </c>
      <c r="BR122" s="37">
        <v>0</v>
      </c>
      <c r="BS122" s="37">
        <v>0</v>
      </c>
      <c r="BT122" s="37">
        <v>0</v>
      </c>
      <c r="BU122" s="2"/>
      <c r="BV122" s="2"/>
    </row>
    <row r="123" spans="1:74" ht="15.75" x14ac:dyDescent="0.3">
      <c r="A123" s="2" t="s">
        <v>54</v>
      </c>
      <c r="B123" s="2" t="s">
        <v>55</v>
      </c>
      <c r="C123" s="2" t="s">
        <v>105</v>
      </c>
      <c r="D123" s="2" t="s">
        <v>57</v>
      </c>
      <c r="E123" s="2" t="s">
        <v>95</v>
      </c>
      <c r="F123" s="2" t="s">
        <v>106</v>
      </c>
      <c r="G123" s="2" t="s">
        <v>186</v>
      </c>
      <c r="H123" s="2" t="s">
        <v>61</v>
      </c>
      <c r="I123" s="2" t="s">
        <v>178</v>
      </c>
      <c r="J123" s="2" t="s">
        <v>669</v>
      </c>
      <c r="K123" s="2" t="s">
        <v>76</v>
      </c>
      <c r="L123" s="2" t="s">
        <v>320</v>
      </c>
      <c r="M123" s="2">
        <v>0</v>
      </c>
      <c r="N123" s="2" t="s">
        <v>670</v>
      </c>
      <c r="O123" s="2" t="s">
        <v>80</v>
      </c>
      <c r="P123" s="2" t="s">
        <v>80</v>
      </c>
      <c r="Q123" s="2" t="s">
        <v>90</v>
      </c>
      <c r="R123" s="2" t="s">
        <v>91</v>
      </c>
      <c r="S123" s="2" t="s">
        <v>671</v>
      </c>
      <c r="T123" s="2" t="s">
        <v>672</v>
      </c>
      <c r="U123" s="2" t="s">
        <v>673</v>
      </c>
      <c r="V123" s="2" t="s">
        <v>672</v>
      </c>
      <c r="W123" s="2" t="s">
        <v>113</v>
      </c>
      <c r="X123" s="38">
        <v>103</v>
      </c>
      <c r="Y123" s="38">
        <v>30</v>
      </c>
      <c r="Z123" s="38">
        <v>73</v>
      </c>
      <c r="AA123" s="38">
        <v>98</v>
      </c>
      <c r="AB123" s="38">
        <v>27</v>
      </c>
      <c r="AC123" s="38">
        <v>71</v>
      </c>
      <c r="AD123" s="38">
        <v>0</v>
      </c>
      <c r="AE123" s="38">
        <v>0</v>
      </c>
      <c r="AF123" s="38">
        <v>0</v>
      </c>
      <c r="AG123" s="38">
        <v>0</v>
      </c>
      <c r="AH123" s="38">
        <v>0</v>
      </c>
      <c r="AI123" s="38">
        <v>0</v>
      </c>
      <c r="AJ123" s="38">
        <v>5</v>
      </c>
      <c r="AK123" s="37">
        <v>4.8543689320388346</v>
      </c>
      <c r="AL123" s="40">
        <f t="shared" si="4"/>
        <v>3</v>
      </c>
      <c r="AM123" s="37">
        <f t="shared" si="5"/>
        <v>10</v>
      </c>
      <c r="AN123" s="40">
        <f t="shared" si="6"/>
        <v>2</v>
      </c>
      <c r="AO123" s="37">
        <f t="shared" si="7"/>
        <v>2.7397260273972601</v>
      </c>
      <c r="AP123" s="38">
        <v>114</v>
      </c>
      <c r="AQ123" s="38">
        <v>39</v>
      </c>
      <c r="AR123" s="38">
        <v>75</v>
      </c>
      <c r="AS123" s="38">
        <v>46</v>
      </c>
      <c r="AT123" s="38">
        <v>18</v>
      </c>
      <c r="AU123" s="38">
        <v>28</v>
      </c>
      <c r="AV123" s="38">
        <v>30</v>
      </c>
      <c r="AW123" s="38">
        <v>5</v>
      </c>
      <c r="AX123" s="38">
        <v>25</v>
      </c>
      <c r="AY123" s="38">
        <v>106</v>
      </c>
      <c r="AZ123" s="38">
        <v>32</v>
      </c>
      <c r="BA123" s="38">
        <v>74</v>
      </c>
      <c r="BB123" s="38">
        <v>8</v>
      </c>
      <c r="BC123" s="37">
        <v>7.5471698113207548</v>
      </c>
      <c r="BD123" s="40">
        <v>6</v>
      </c>
      <c r="BE123" s="37">
        <v>18.75</v>
      </c>
      <c r="BF123" s="40">
        <v>2</v>
      </c>
      <c r="BG123" s="37">
        <v>2.7027027027027026</v>
      </c>
      <c r="BH123" s="38">
        <v>30</v>
      </c>
      <c r="BI123" s="38">
        <v>30</v>
      </c>
      <c r="BJ123" s="38">
        <v>5</v>
      </c>
      <c r="BK123" s="38">
        <v>25</v>
      </c>
      <c r="BL123" s="37">
        <v>100</v>
      </c>
      <c r="BM123" s="37">
        <v>100</v>
      </c>
      <c r="BN123" s="37">
        <v>100</v>
      </c>
      <c r="BO123" s="38">
        <v>41</v>
      </c>
      <c r="BP123" s="38">
        <v>7</v>
      </c>
      <c r="BQ123" s="38">
        <v>34</v>
      </c>
      <c r="BR123" s="37">
        <v>73.170731707317074</v>
      </c>
      <c r="BS123" s="37">
        <v>71.428571428571431</v>
      </c>
      <c r="BT123" s="37">
        <v>73.529411764705884</v>
      </c>
      <c r="BU123" s="2"/>
      <c r="BV123" s="2"/>
    </row>
    <row r="124" spans="1:74" ht="15.75" x14ac:dyDescent="0.3">
      <c r="A124" s="2" t="s">
        <v>54</v>
      </c>
      <c r="B124" s="2" t="s">
        <v>55</v>
      </c>
      <c r="C124" s="2" t="s">
        <v>56</v>
      </c>
      <c r="D124" s="2" t="s">
        <v>674</v>
      </c>
      <c r="E124" s="2" t="s">
        <v>674</v>
      </c>
      <c r="F124" s="2" t="s">
        <v>675</v>
      </c>
      <c r="G124" s="2" t="s">
        <v>60</v>
      </c>
      <c r="H124" s="2" t="s">
        <v>61</v>
      </c>
      <c r="I124" s="2" t="s">
        <v>62</v>
      </c>
      <c r="J124" s="2" t="s">
        <v>63</v>
      </c>
      <c r="K124" s="2" t="s">
        <v>676</v>
      </c>
      <c r="L124" s="2" t="s">
        <v>677</v>
      </c>
      <c r="M124" s="2">
        <v>182</v>
      </c>
      <c r="N124" s="2" t="s">
        <v>678</v>
      </c>
      <c r="O124" s="2" t="s">
        <v>679</v>
      </c>
      <c r="P124" s="2" t="s">
        <v>80</v>
      </c>
      <c r="Q124" s="2" t="s">
        <v>69</v>
      </c>
      <c r="R124" s="2" t="s">
        <v>70</v>
      </c>
      <c r="S124" s="2" t="s">
        <v>680</v>
      </c>
      <c r="T124" s="2" t="s">
        <v>681</v>
      </c>
      <c r="U124" s="2" t="s">
        <v>682</v>
      </c>
      <c r="V124" s="2" t="s">
        <v>681</v>
      </c>
      <c r="W124" s="2" t="s">
        <v>74</v>
      </c>
      <c r="X124" s="38">
        <v>52</v>
      </c>
      <c r="Y124" s="38">
        <v>28</v>
      </c>
      <c r="Z124" s="38">
        <v>24</v>
      </c>
      <c r="AA124" s="38">
        <v>43</v>
      </c>
      <c r="AB124" s="38">
        <v>23</v>
      </c>
      <c r="AC124" s="38">
        <v>20</v>
      </c>
      <c r="AD124" s="38">
        <v>0</v>
      </c>
      <c r="AE124" s="38">
        <v>0</v>
      </c>
      <c r="AF124" s="38">
        <v>0</v>
      </c>
      <c r="AG124" s="38">
        <v>0</v>
      </c>
      <c r="AH124" s="38">
        <v>0</v>
      </c>
      <c r="AI124" s="38">
        <v>0</v>
      </c>
      <c r="AJ124" s="38">
        <v>9</v>
      </c>
      <c r="AK124" s="37">
        <v>17.307692307692307</v>
      </c>
      <c r="AL124" s="40">
        <f t="shared" si="4"/>
        <v>5</v>
      </c>
      <c r="AM124" s="37">
        <f t="shared" si="5"/>
        <v>17.857142857142858</v>
      </c>
      <c r="AN124" s="40">
        <f t="shared" si="6"/>
        <v>4</v>
      </c>
      <c r="AO124" s="37">
        <f t="shared" si="7"/>
        <v>16.666666666666664</v>
      </c>
      <c r="AP124" s="38">
        <v>59</v>
      </c>
      <c r="AQ124" s="38">
        <v>30</v>
      </c>
      <c r="AR124" s="38">
        <v>29</v>
      </c>
      <c r="AS124" s="38">
        <v>36</v>
      </c>
      <c r="AT124" s="38">
        <v>15</v>
      </c>
      <c r="AU124" s="38">
        <v>21</v>
      </c>
      <c r="AV124" s="38">
        <v>25</v>
      </c>
      <c r="AW124" s="38">
        <v>12</v>
      </c>
      <c r="AX124" s="38">
        <v>13</v>
      </c>
      <c r="AY124" s="38">
        <v>55</v>
      </c>
      <c r="AZ124" s="38">
        <v>29</v>
      </c>
      <c r="BA124" s="38">
        <v>26</v>
      </c>
      <c r="BB124" s="38">
        <v>7</v>
      </c>
      <c r="BC124" s="37">
        <v>12.727272727272727</v>
      </c>
      <c r="BD124" s="40">
        <v>2</v>
      </c>
      <c r="BE124" s="37">
        <v>6.8965517241379306</v>
      </c>
      <c r="BF124" s="40">
        <v>5</v>
      </c>
      <c r="BG124" s="37">
        <v>19.230769230769234</v>
      </c>
      <c r="BH124" s="38">
        <v>25</v>
      </c>
      <c r="BI124" s="38">
        <v>27</v>
      </c>
      <c r="BJ124" s="38">
        <v>14</v>
      </c>
      <c r="BK124" s="38">
        <v>13</v>
      </c>
      <c r="BL124" s="37">
        <v>92.592592592592595</v>
      </c>
      <c r="BM124" s="37">
        <v>85.714285714285708</v>
      </c>
      <c r="BN124" s="37">
        <v>100</v>
      </c>
      <c r="BO124" s="38">
        <v>29</v>
      </c>
      <c r="BP124" s="38">
        <v>14</v>
      </c>
      <c r="BQ124" s="38">
        <v>15</v>
      </c>
      <c r="BR124" s="37">
        <v>86.206896551724128</v>
      </c>
      <c r="BS124" s="37">
        <v>85.714285714285708</v>
      </c>
      <c r="BT124" s="37">
        <v>86.666666666666671</v>
      </c>
      <c r="BU124" s="2"/>
      <c r="BV124" s="2"/>
    </row>
    <row r="125" spans="1:74" ht="15.75" x14ac:dyDescent="0.3">
      <c r="A125" s="2" t="s">
        <v>54</v>
      </c>
      <c r="B125" s="2" t="s">
        <v>55</v>
      </c>
      <c r="C125" s="2" t="s">
        <v>56</v>
      </c>
      <c r="D125" s="2" t="s">
        <v>674</v>
      </c>
      <c r="E125" s="2" t="s">
        <v>674</v>
      </c>
      <c r="F125" s="2" t="s">
        <v>675</v>
      </c>
      <c r="G125" s="2" t="s">
        <v>60</v>
      </c>
      <c r="H125" s="2" t="s">
        <v>61</v>
      </c>
      <c r="I125" s="2" t="s">
        <v>62</v>
      </c>
      <c r="J125" s="2" t="s">
        <v>63</v>
      </c>
      <c r="K125" s="2" t="s">
        <v>159</v>
      </c>
      <c r="L125" s="2" t="s">
        <v>683</v>
      </c>
      <c r="M125" s="2">
        <v>77</v>
      </c>
      <c r="N125" s="2" t="s">
        <v>684</v>
      </c>
      <c r="O125" s="2" t="s">
        <v>685</v>
      </c>
      <c r="P125" s="2" t="s">
        <v>80</v>
      </c>
      <c r="Q125" s="2" t="s">
        <v>69</v>
      </c>
      <c r="R125" s="2" t="s">
        <v>70</v>
      </c>
      <c r="S125" s="2" t="s">
        <v>686</v>
      </c>
      <c r="T125" s="2" t="s">
        <v>687</v>
      </c>
      <c r="U125" s="2" t="s">
        <v>688</v>
      </c>
      <c r="V125" s="2" t="s">
        <v>687</v>
      </c>
      <c r="W125" s="2" t="s">
        <v>74</v>
      </c>
      <c r="X125" s="38">
        <v>249</v>
      </c>
      <c r="Y125" s="38">
        <v>131</v>
      </c>
      <c r="Z125" s="38">
        <v>118</v>
      </c>
      <c r="AA125" s="38">
        <v>189</v>
      </c>
      <c r="AB125" s="38">
        <v>91</v>
      </c>
      <c r="AC125" s="38">
        <v>98</v>
      </c>
      <c r="AD125" s="38">
        <v>60</v>
      </c>
      <c r="AE125" s="38">
        <v>40</v>
      </c>
      <c r="AF125" s="38">
        <v>20</v>
      </c>
      <c r="AG125" s="38">
        <v>0</v>
      </c>
      <c r="AH125" s="38">
        <v>0</v>
      </c>
      <c r="AI125" s="38">
        <v>0</v>
      </c>
      <c r="AJ125" s="38">
        <v>0</v>
      </c>
      <c r="AK125" s="37">
        <v>0</v>
      </c>
      <c r="AL125" s="40">
        <f t="shared" si="4"/>
        <v>0</v>
      </c>
      <c r="AM125" s="37">
        <f t="shared" si="5"/>
        <v>0</v>
      </c>
      <c r="AN125" s="40">
        <f t="shared" si="6"/>
        <v>0</v>
      </c>
      <c r="AO125" s="37">
        <f t="shared" si="7"/>
        <v>0</v>
      </c>
      <c r="AP125" s="38">
        <v>270</v>
      </c>
      <c r="AQ125" s="38">
        <v>135</v>
      </c>
      <c r="AR125" s="38">
        <v>135</v>
      </c>
      <c r="AS125" s="38">
        <v>124</v>
      </c>
      <c r="AT125" s="38">
        <v>59</v>
      </c>
      <c r="AU125" s="38">
        <v>65</v>
      </c>
      <c r="AV125" s="38">
        <v>101</v>
      </c>
      <c r="AW125" s="38">
        <v>50</v>
      </c>
      <c r="AX125" s="38">
        <v>51</v>
      </c>
      <c r="AY125" s="38">
        <v>258</v>
      </c>
      <c r="AZ125" s="38">
        <v>134</v>
      </c>
      <c r="BA125" s="38">
        <v>124</v>
      </c>
      <c r="BB125" s="38">
        <v>11</v>
      </c>
      <c r="BC125" s="37">
        <v>4.2635658914728678</v>
      </c>
      <c r="BD125" s="40">
        <v>8</v>
      </c>
      <c r="BE125" s="37">
        <v>5.9701492537313428</v>
      </c>
      <c r="BF125" s="40">
        <v>3</v>
      </c>
      <c r="BG125" s="37">
        <v>2.4193548387096775</v>
      </c>
      <c r="BH125" s="38">
        <v>101</v>
      </c>
      <c r="BI125" s="38">
        <v>102</v>
      </c>
      <c r="BJ125" s="38">
        <v>50</v>
      </c>
      <c r="BK125" s="38">
        <v>52</v>
      </c>
      <c r="BL125" s="37">
        <v>99.019607843137265</v>
      </c>
      <c r="BM125" s="37">
        <v>100</v>
      </c>
      <c r="BN125" s="37">
        <v>98.076923076923066</v>
      </c>
      <c r="BO125" s="38">
        <v>113</v>
      </c>
      <c r="BP125" s="38">
        <v>56</v>
      </c>
      <c r="BQ125" s="38">
        <v>57</v>
      </c>
      <c r="BR125" s="37">
        <v>89.380530973451329</v>
      </c>
      <c r="BS125" s="37">
        <v>89.285714285714292</v>
      </c>
      <c r="BT125" s="37">
        <v>89.473684210526315</v>
      </c>
      <c r="BU125" s="2"/>
      <c r="BV125" s="2"/>
    </row>
    <row r="126" spans="1:74" ht="15.75" x14ac:dyDescent="0.3">
      <c r="A126" s="2" t="s">
        <v>54</v>
      </c>
      <c r="B126" s="2" t="s">
        <v>55</v>
      </c>
      <c r="C126" s="2" t="s">
        <v>56</v>
      </c>
      <c r="D126" s="2" t="s">
        <v>674</v>
      </c>
      <c r="E126" s="2" t="s">
        <v>674</v>
      </c>
      <c r="F126" s="2" t="s">
        <v>675</v>
      </c>
      <c r="G126" s="2" t="s">
        <v>60</v>
      </c>
      <c r="H126" s="2" t="s">
        <v>61</v>
      </c>
      <c r="I126" s="2" t="s">
        <v>62</v>
      </c>
      <c r="J126" s="2" t="s">
        <v>63</v>
      </c>
      <c r="K126" s="2" t="s">
        <v>689</v>
      </c>
      <c r="L126" s="2" t="s">
        <v>690</v>
      </c>
      <c r="M126" s="2">
        <v>1</v>
      </c>
      <c r="N126" s="2" t="s">
        <v>691</v>
      </c>
      <c r="O126" s="2" t="s">
        <v>692</v>
      </c>
      <c r="P126" s="2" t="s">
        <v>693</v>
      </c>
      <c r="Q126" s="2" t="s">
        <v>69</v>
      </c>
      <c r="R126" s="2" t="s">
        <v>70</v>
      </c>
      <c r="S126" s="2" t="s">
        <v>694</v>
      </c>
      <c r="T126" s="2" t="s">
        <v>695</v>
      </c>
      <c r="U126" s="2" t="s">
        <v>696</v>
      </c>
      <c r="V126" s="2" t="s">
        <v>695</v>
      </c>
      <c r="W126" s="2" t="s">
        <v>74</v>
      </c>
      <c r="X126" s="38">
        <v>74</v>
      </c>
      <c r="Y126" s="38">
        <v>28</v>
      </c>
      <c r="Z126" s="38">
        <v>46</v>
      </c>
      <c r="AA126" s="38">
        <v>57</v>
      </c>
      <c r="AB126" s="38">
        <v>19</v>
      </c>
      <c r="AC126" s="38">
        <v>38</v>
      </c>
      <c r="AD126" s="38">
        <v>15</v>
      </c>
      <c r="AE126" s="38">
        <v>8</v>
      </c>
      <c r="AF126" s="38">
        <v>7</v>
      </c>
      <c r="AG126" s="38">
        <v>0</v>
      </c>
      <c r="AH126" s="38">
        <v>0</v>
      </c>
      <c r="AI126" s="38">
        <v>0</v>
      </c>
      <c r="AJ126" s="38">
        <v>2</v>
      </c>
      <c r="AK126" s="37">
        <v>2.7027027027027026</v>
      </c>
      <c r="AL126" s="40">
        <f t="shared" si="4"/>
        <v>1</v>
      </c>
      <c r="AM126" s="37">
        <f t="shared" si="5"/>
        <v>3.5714285714285712</v>
      </c>
      <c r="AN126" s="40">
        <f t="shared" si="6"/>
        <v>1</v>
      </c>
      <c r="AO126" s="37">
        <f t="shared" si="7"/>
        <v>2.1739130434782608</v>
      </c>
      <c r="AP126" s="38">
        <v>79</v>
      </c>
      <c r="AQ126" s="38">
        <v>32</v>
      </c>
      <c r="AR126" s="38">
        <v>47</v>
      </c>
      <c r="AS126" s="38">
        <v>25</v>
      </c>
      <c r="AT126" s="38">
        <v>12</v>
      </c>
      <c r="AU126" s="38">
        <v>13</v>
      </c>
      <c r="AV126" s="38">
        <v>14</v>
      </c>
      <c r="AW126" s="38">
        <v>5</v>
      </c>
      <c r="AX126" s="38">
        <v>9</v>
      </c>
      <c r="AY126" s="38">
        <v>78</v>
      </c>
      <c r="AZ126" s="38">
        <v>32</v>
      </c>
      <c r="BA126" s="38">
        <v>46</v>
      </c>
      <c r="BB126" s="38">
        <v>10</v>
      </c>
      <c r="BC126" s="37">
        <v>12.820512820512819</v>
      </c>
      <c r="BD126" s="40">
        <v>7</v>
      </c>
      <c r="BE126" s="37">
        <v>21.875</v>
      </c>
      <c r="BF126" s="40">
        <v>3</v>
      </c>
      <c r="BG126" s="37">
        <v>6.5217391304347823</v>
      </c>
      <c r="BH126" s="38">
        <v>14</v>
      </c>
      <c r="BI126" s="38">
        <v>14</v>
      </c>
      <c r="BJ126" s="38">
        <v>6</v>
      </c>
      <c r="BK126" s="38">
        <v>8</v>
      </c>
      <c r="BL126" s="37">
        <v>100</v>
      </c>
      <c r="BM126" s="37">
        <v>83.333333333333343</v>
      </c>
      <c r="BN126" s="37">
        <v>112.5</v>
      </c>
      <c r="BO126" s="38">
        <v>21</v>
      </c>
      <c r="BP126" s="38">
        <v>11</v>
      </c>
      <c r="BQ126" s="38">
        <v>10</v>
      </c>
      <c r="BR126" s="37">
        <v>66.666666666666657</v>
      </c>
      <c r="BS126" s="37">
        <v>45.454545454545453</v>
      </c>
      <c r="BT126" s="37">
        <v>90</v>
      </c>
      <c r="BU126" s="2"/>
      <c r="BV126" s="2"/>
    </row>
    <row r="127" spans="1:74" ht="15.75" x14ac:dyDescent="0.3">
      <c r="A127" s="2" t="s">
        <v>54</v>
      </c>
      <c r="B127" s="2" t="s">
        <v>55</v>
      </c>
      <c r="C127" s="2" t="s">
        <v>56</v>
      </c>
      <c r="D127" s="2" t="s">
        <v>674</v>
      </c>
      <c r="E127" s="2" t="s">
        <v>674</v>
      </c>
      <c r="F127" s="2" t="s">
        <v>675</v>
      </c>
      <c r="G127" s="2" t="s">
        <v>60</v>
      </c>
      <c r="H127" s="2" t="s">
        <v>61</v>
      </c>
      <c r="I127" s="2" t="s">
        <v>62</v>
      </c>
      <c r="J127" s="2" t="s">
        <v>63</v>
      </c>
      <c r="K127" s="2" t="s">
        <v>697</v>
      </c>
      <c r="L127" s="2" t="s">
        <v>698</v>
      </c>
      <c r="M127" s="2">
        <v>51</v>
      </c>
      <c r="N127" s="2" t="s">
        <v>699</v>
      </c>
      <c r="O127" s="2" t="s">
        <v>700</v>
      </c>
      <c r="P127" s="2" t="s">
        <v>701</v>
      </c>
      <c r="Q127" s="2" t="s">
        <v>69</v>
      </c>
      <c r="R127" s="2" t="s">
        <v>70</v>
      </c>
      <c r="S127" s="2" t="s">
        <v>702</v>
      </c>
      <c r="T127" s="2" t="s">
        <v>703</v>
      </c>
      <c r="U127" s="2" t="s">
        <v>704</v>
      </c>
      <c r="V127" s="2" t="s">
        <v>703</v>
      </c>
      <c r="W127" s="2" t="s">
        <v>74</v>
      </c>
      <c r="X127" s="38">
        <v>320</v>
      </c>
      <c r="Y127" s="38">
        <v>161</v>
      </c>
      <c r="Z127" s="38">
        <v>159</v>
      </c>
      <c r="AA127" s="38">
        <v>216</v>
      </c>
      <c r="AB127" s="38">
        <v>102</v>
      </c>
      <c r="AC127" s="38">
        <v>114</v>
      </c>
      <c r="AD127" s="38">
        <v>51</v>
      </c>
      <c r="AE127" s="38">
        <v>30</v>
      </c>
      <c r="AF127" s="38">
        <v>21</v>
      </c>
      <c r="AG127" s="38">
        <v>0</v>
      </c>
      <c r="AH127" s="38">
        <v>0</v>
      </c>
      <c r="AI127" s="38">
        <v>0</v>
      </c>
      <c r="AJ127" s="38">
        <v>53</v>
      </c>
      <c r="AK127" s="37">
        <v>16.5625</v>
      </c>
      <c r="AL127" s="40">
        <f t="shared" si="4"/>
        <v>29</v>
      </c>
      <c r="AM127" s="37">
        <f t="shared" si="5"/>
        <v>18.012422360248447</v>
      </c>
      <c r="AN127" s="40">
        <f t="shared" si="6"/>
        <v>24</v>
      </c>
      <c r="AO127" s="37">
        <f t="shared" si="7"/>
        <v>15.09433962264151</v>
      </c>
      <c r="AP127" s="38">
        <v>327</v>
      </c>
      <c r="AQ127" s="38">
        <v>161</v>
      </c>
      <c r="AR127" s="38">
        <v>166</v>
      </c>
      <c r="AS127" s="38">
        <v>125</v>
      </c>
      <c r="AT127" s="38">
        <v>63</v>
      </c>
      <c r="AU127" s="38">
        <v>62</v>
      </c>
      <c r="AV127" s="38">
        <v>0</v>
      </c>
      <c r="AW127" s="38">
        <v>0</v>
      </c>
      <c r="AX127" s="38">
        <v>0</v>
      </c>
      <c r="AY127" s="38">
        <v>320</v>
      </c>
      <c r="AZ127" s="38">
        <v>161</v>
      </c>
      <c r="BA127" s="38">
        <v>159</v>
      </c>
      <c r="BB127" s="38">
        <v>118</v>
      </c>
      <c r="BC127" s="37">
        <v>36.875</v>
      </c>
      <c r="BD127" s="40">
        <v>63</v>
      </c>
      <c r="BE127" s="37">
        <v>39.130434782608695</v>
      </c>
      <c r="BF127" s="40">
        <v>55</v>
      </c>
      <c r="BG127" s="37">
        <v>34.591194968553459</v>
      </c>
      <c r="BH127" s="38">
        <v>0</v>
      </c>
      <c r="BI127" s="38">
        <v>108</v>
      </c>
      <c r="BJ127" s="38">
        <v>54</v>
      </c>
      <c r="BK127" s="38">
        <v>54</v>
      </c>
      <c r="BL127" s="37">
        <v>0</v>
      </c>
      <c r="BM127" s="37">
        <v>0</v>
      </c>
      <c r="BN127" s="37">
        <v>0</v>
      </c>
      <c r="BO127" s="38">
        <v>111</v>
      </c>
      <c r="BP127" s="38">
        <v>59</v>
      </c>
      <c r="BQ127" s="38">
        <v>52</v>
      </c>
      <c r="BR127" s="37">
        <v>0</v>
      </c>
      <c r="BS127" s="37">
        <v>0</v>
      </c>
      <c r="BT127" s="37">
        <v>0</v>
      </c>
      <c r="BU127" s="2"/>
      <c r="BV127" s="2"/>
    </row>
    <row r="128" spans="1:74" ht="15.75" x14ac:dyDescent="0.3">
      <c r="A128" s="2" t="s">
        <v>54</v>
      </c>
      <c r="B128" s="2" t="s">
        <v>55</v>
      </c>
      <c r="C128" s="2" t="s">
        <v>56</v>
      </c>
      <c r="D128" s="2" t="s">
        <v>674</v>
      </c>
      <c r="E128" s="2" t="s">
        <v>674</v>
      </c>
      <c r="F128" s="2" t="s">
        <v>675</v>
      </c>
      <c r="G128" s="2" t="s">
        <v>60</v>
      </c>
      <c r="H128" s="2" t="s">
        <v>61</v>
      </c>
      <c r="I128" s="2" t="s">
        <v>62</v>
      </c>
      <c r="J128" s="2" t="s">
        <v>63</v>
      </c>
      <c r="K128" s="2" t="s">
        <v>705</v>
      </c>
      <c r="L128" s="2" t="s">
        <v>706</v>
      </c>
      <c r="M128" s="2">
        <v>349</v>
      </c>
      <c r="N128" s="2" t="s">
        <v>707</v>
      </c>
      <c r="O128" s="2" t="s">
        <v>708</v>
      </c>
      <c r="P128" s="2" t="s">
        <v>709</v>
      </c>
      <c r="Q128" s="2" t="s">
        <v>69</v>
      </c>
      <c r="R128" s="2" t="s">
        <v>70</v>
      </c>
      <c r="S128" s="2" t="s">
        <v>710</v>
      </c>
      <c r="T128" s="2" t="s">
        <v>711</v>
      </c>
      <c r="U128" s="2" t="s">
        <v>712</v>
      </c>
      <c r="V128" s="2" t="s">
        <v>711</v>
      </c>
      <c r="W128" s="2" t="s">
        <v>74</v>
      </c>
      <c r="X128" s="38">
        <v>387</v>
      </c>
      <c r="Y128" s="38">
        <v>195</v>
      </c>
      <c r="Z128" s="38">
        <v>192</v>
      </c>
      <c r="AA128" s="38">
        <v>345</v>
      </c>
      <c r="AB128" s="38">
        <v>172</v>
      </c>
      <c r="AC128" s="38">
        <v>173</v>
      </c>
      <c r="AD128" s="38">
        <v>36</v>
      </c>
      <c r="AE128" s="38">
        <v>21</v>
      </c>
      <c r="AF128" s="38">
        <v>15</v>
      </c>
      <c r="AG128" s="38">
        <v>0</v>
      </c>
      <c r="AH128" s="38">
        <v>0</v>
      </c>
      <c r="AI128" s="38">
        <v>0</v>
      </c>
      <c r="AJ128" s="38">
        <v>6</v>
      </c>
      <c r="AK128" s="37">
        <v>1.5503875968992249</v>
      </c>
      <c r="AL128" s="40">
        <f t="shared" si="4"/>
        <v>2</v>
      </c>
      <c r="AM128" s="37">
        <f t="shared" si="5"/>
        <v>1.0256410256410255</v>
      </c>
      <c r="AN128" s="40">
        <f t="shared" si="6"/>
        <v>4</v>
      </c>
      <c r="AO128" s="37">
        <f t="shared" si="7"/>
        <v>2.083333333333333</v>
      </c>
      <c r="AP128" s="38">
        <v>368</v>
      </c>
      <c r="AQ128" s="38">
        <v>196</v>
      </c>
      <c r="AR128" s="38">
        <v>172</v>
      </c>
      <c r="AS128" s="38">
        <v>133</v>
      </c>
      <c r="AT128" s="38">
        <v>77</v>
      </c>
      <c r="AU128" s="38">
        <v>56</v>
      </c>
      <c r="AV128" s="38">
        <v>142</v>
      </c>
      <c r="AW128" s="38">
        <v>76</v>
      </c>
      <c r="AX128" s="38">
        <v>66</v>
      </c>
      <c r="AY128" s="38">
        <v>397</v>
      </c>
      <c r="AZ128" s="38">
        <v>206</v>
      </c>
      <c r="BA128" s="38">
        <v>191</v>
      </c>
      <c r="BB128" s="38">
        <v>20</v>
      </c>
      <c r="BC128" s="37">
        <v>5.037783375314862</v>
      </c>
      <c r="BD128" s="40">
        <v>11</v>
      </c>
      <c r="BE128" s="37">
        <v>5.3398058252427179</v>
      </c>
      <c r="BF128" s="40">
        <v>9</v>
      </c>
      <c r="BG128" s="37">
        <v>4.7120418848167542</v>
      </c>
      <c r="BH128" s="38">
        <v>142</v>
      </c>
      <c r="BI128" s="38">
        <v>143</v>
      </c>
      <c r="BJ128" s="38">
        <v>69</v>
      </c>
      <c r="BK128" s="38">
        <v>74</v>
      </c>
      <c r="BL128" s="37">
        <v>99.300699300699307</v>
      </c>
      <c r="BM128" s="37">
        <v>110.14492753623189</v>
      </c>
      <c r="BN128" s="37">
        <v>89.189189189189193</v>
      </c>
      <c r="BO128" s="38">
        <v>148</v>
      </c>
      <c r="BP128" s="38">
        <v>76</v>
      </c>
      <c r="BQ128" s="38">
        <v>72</v>
      </c>
      <c r="BR128" s="37">
        <v>95.945945945945937</v>
      </c>
      <c r="BS128" s="37">
        <v>100</v>
      </c>
      <c r="BT128" s="37">
        <v>91.666666666666657</v>
      </c>
      <c r="BU128" s="2"/>
      <c r="BV128" s="2"/>
    </row>
    <row r="129" spans="1:74" ht="15.75" x14ac:dyDescent="0.3">
      <c r="A129" s="2" t="s">
        <v>54</v>
      </c>
      <c r="B129" s="2" t="s">
        <v>55</v>
      </c>
      <c r="C129" s="2" t="s">
        <v>56</v>
      </c>
      <c r="D129" s="2" t="s">
        <v>674</v>
      </c>
      <c r="E129" s="2" t="s">
        <v>674</v>
      </c>
      <c r="F129" s="2" t="s">
        <v>675</v>
      </c>
      <c r="G129" s="2" t="s">
        <v>60</v>
      </c>
      <c r="H129" s="2" t="s">
        <v>61</v>
      </c>
      <c r="I129" s="2" t="s">
        <v>62</v>
      </c>
      <c r="J129" s="2" t="s">
        <v>63</v>
      </c>
      <c r="K129" s="2" t="s">
        <v>705</v>
      </c>
      <c r="L129" s="2" t="s">
        <v>706</v>
      </c>
      <c r="M129" s="2">
        <v>339</v>
      </c>
      <c r="N129" s="2" t="s">
        <v>713</v>
      </c>
      <c r="O129" s="2" t="s">
        <v>714</v>
      </c>
      <c r="P129" s="2" t="s">
        <v>80</v>
      </c>
      <c r="Q129" s="2" t="s">
        <v>69</v>
      </c>
      <c r="R129" s="2" t="s">
        <v>70</v>
      </c>
      <c r="S129" s="2" t="s">
        <v>715</v>
      </c>
      <c r="T129" s="2" t="s">
        <v>716</v>
      </c>
      <c r="U129" s="2" t="s">
        <v>717</v>
      </c>
      <c r="V129" s="2" t="s">
        <v>716</v>
      </c>
      <c r="W129" s="2" t="s">
        <v>74</v>
      </c>
      <c r="X129" s="38">
        <v>90</v>
      </c>
      <c r="Y129" s="38">
        <v>30</v>
      </c>
      <c r="Z129" s="38">
        <v>60</v>
      </c>
      <c r="AA129" s="38">
        <v>64</v>
      </c>
      <c r="AB129" s="38">
        <v>17</v>
      </c>
      <c r="AC129" s="38">
        <v>47</v>
      </c>
      <c r="AD129" s="38">
        <v>3</v>
      </c>
      <c r="AE129" s="38">
        <v>3</v>
      </c>
      <c r="AF129" s="38">
        <v>0</v>
      </c>
      <c r="AG129" s="38">
        <v>0</v>
      </c>
      <c r="AH129" s="38">
        <v>0</v>
      </c>
      <c r="AI129" s="38">
        <v>0</v>
      </c>
      <c r="AJ129" s="38">
        <v>23</v>
      </c>
      <c r="AK129" s="37">
        <v>25.555555555555554</v>
      </c>
      <c r="AL129" s="40">
        <f t="shared" si="4"/>
        <v>10</v>
      </c>
      <c r="AM129" s="37">
        <f t="shared" si="5"/>
        <v>33.333333333333329</v>
      </c>
      <c r="AN129" s="40">
        <f t="shared" si="6"/>
        <v>13</v>
      </c>
      <c r="AO129" s="37">
        <f t="shared" si="7"/>
        <v>21.666666666666668</v>
      </c>
      <c r="AP129" s="38">
        <v>87</v>
      </c>
      <c r="AQ129" s="38">
        <v>38</v>
      </c>
      <c r="AR129" s="38">
        <v>49</v>
      </c>
      <c r="AS129" s="38">
        <v>33</v>
      </c>
      <c r="AT129" s="38">
        <v>18</v>
      </c>
      <c r="AU129" s="38">
        <v>15</v>
      </c>
      <c r="AV129" s="38">
        <v>21</v>
      </c>
      <c r="AW129" s="38">
        <v>5</v>
      </c>
      <c r="AX129" s="38">
        <v>16</v>
      </c>
      <c r="AY129" s="38">
        <v>94</v>
      </c>
      <c r="AZ129" s="38">
        <v>34</v>
      </c>
      <c r="BA129" s="38">
        <v>60</v>
      </c>
      <c r="BB129" s="38">
        <v>19</v>
      </c>
      <c r="BC129" s="37">
        <v>20.212765957446805</v>
      </c>
      <c r="BD129" s="40">
        <v>9</v>
      </c>
      <c r="BE129" s="37">
        <v>26.47058823529412</v>
      </c>
      <c r="BF129" s="40">
        <v>10</v>
      </c>
      <c r="BG129" s="37">
        <v>16.666666666666664</v>
      </c>
      <c r="BH129" s="38">
        <v>21</v>
      </c>
      <c r="BI129" s="38">
        <v>33</v>
      </c>
      <c r="BJ129" s="38">
        <v>10</v>
      </c>
      <c r="BK129" s="38">
        <v>23</v>
      </c>
      <c r="BL129" s="37">
        <v>63.636363636363633</v>
      </c>
      <c r="BM129" s="37">
        <v>50</v>
      </c>
      <c r="BN129" s="37">
        <v>69.565217391304344</v>
      </c>
      <c r="BO129" s="38">
        <v>41</v>
      </c>
      <c r="BP129" s="38">
        <v>14</v>
      </c>
      <c r="BQ129" s="38">
        <v>27</v>
      </c>
      <c r="BR129" s="37">
        <v>51.219512195121951</v>
      </c>
      <c r="BS129" s="37">
        <v>35.714285714285715</v>
      </c>
      <c r="BT129" s="37">
        <v>59.259259259259252</v>
      </c>
      <c r="BU129" s="2"/>
      <c r="BV129" s="2"/>
    </row>
    <row r="130" spans="1:74" ht="15.75" x14ac:dyDescent="0.3">
      <c r="A130" s="2" t="s">
        <v>54</v>
      </c>
      <c r="B130" s="2" t="s">
        <v>55</v>
      </c>
      <c r="C130" s="2" t="s">
        <v>56</v>
      </c>
      <c r="D130" s="2" t="s">
        <v>674</v>
      </c>
      <c r="E130" s="2" t="s">
        <v>674</v>
      </c>
      <c r="F130" s="2" t="s">
        <v>675</v>
      </c>
      <c r="G130" s="2" t="s">
        <v>60</v>
      </c>
      <c r="H130" s="2" t="s">
        <v>61</v>
      </c>
      <c r="I130" s="2" t="s">
        <v>62</v>
      </c>
      <c r="J130" s="2" t="s">
        <v>63</v>
      </c>
      <c r="K130" s="2" t="s">
        <v>718</v>
      </c>
      <c r="L130" s="2" t="s">
        <v>719</v>
      </c>
      <c r="M130" s="2">
        <v>143</v>
      </c>
      <c r="N130" s="2" t="s">
        <v>720</v>
      </c>
      <c r="O130" s="2" t="s">
        <v>721</v>
      </c>
      <c r="P130" s="2" t="s">
        <v>80</v>
      </c>
      <c r="Q130" s="2" t="s">
        <v>69</v>
      </c>
      <c r="R130" s="2" t="s">
        <v>70</v>
      </c>
      <c r="S130" s="2" t="s">
        <v>722</v>
      </c>
      <c r="T130" s="2" t="s">
        <v>723</v>
      </c>
      <c r="U130" s="2" t="s">
        <v>724</v>
      </c>
      <c r="V130" s="2" t="s">
        <v>723</v>
      </c>
      <c r="W130" s="2" t="s">
        <v>74</v>
      </c>
      <c r="X130" s="38">
        <v>158</v>
      </c>
      <c r="Y130" s="38">
        <v>79</v>
      </c>
      <c r="Z130" s="38">
        <v>79</v>
      </c>
      <c r="AA130" s="38">
        <v>158</v>
      </c>
      <c r="AB130" s="38">
        <v>79</v>
      </c>
      <c r="AC130" s="38">
        <v>79</v>
      </c>
      <c r="AD130" s="38">
        <v>0</v>
      </c>
      <c r="AE130" s="38">
        <v>0</v>
      </c>
      <c r="AF130" s="38">
        <v>0</v>
      </c>
      <c r="AG130" s="38">
        <v>0</v>
      </c>
      <c r="AH130" s="38">
        <v>0</v>
      </c>
      <c r="AI130" s="38">
        <v>0</v>
      </c>
      <c r="AJ130" s="38">
        <v>0</v>
      </c>
      <c r="AK130" s="37">
        <v>0</v>
      </c>
      <c r="AL130" s="40">
        <f t="shared" si="4"/>
        <v>0</v>
      </c>
      <c r="AM130" s="37">
        <f t="shared" si="5"/>
        <v>0</v>
      </c>
      <c r="AN130" s="40">
        <f t="shared" si="6"/>
        <v>0</v>
      </c>
      <c r="AO130" s="37">
        <f t="shared" si="7"/>
        <v>0</v>
      </c>
      <c r="AP130" s="38">
        <v>163</v>
      </c>
      <c r="AQ130" s="38">
        <v>87</v>
      </c>
      <c r="AR130" s="38">
        <v>76</v>
      </c>
      <c r="AS130" s="38">
        <v>58</v>
      </c>
      <c r="AT130" s="38">
        <v>36</v>
      </c>
      <c r="AU130" s="38">
        <v>22</v>
      </c>
      <c r="AV130" s="38">
        <v>51</v>
      </c>
      <c r="AW130" s="38">
        <v>27</v>
      </c>
      <c r="AX130" s="38">
        <v>24</v>
      </c>
      <c r="AY130" s="38">
        <v>160</v>
      </c>
      <c r="AZ130" s="38">
        <v>80</v>
      </c>
      <c r="BA130" s="38">
        <v>80</v>
      </c>
      <c r="BB130" s="38">
        <v>4</v>
      </c>
      <c r="BC130" s="37">
        <v>2.5</v>
      </c>
      <c r="BD130" s="40">
        <v>2</v>
      </c>
      <c r="BE130" s="37">
        <v>2.5</v>
      </c>
      <c r="BF130" s="40">
        <v>2</v>
      </c>
      <c r="BG130" s="37">
        <v>2.5</v>
      </c>
      <c r="BH130" s="38">
        <v>51</v>
      </c>
      <c r="BI130" s="38">
        <v>51</v>
      </c>
      <c r="BJ130" s="38">
        <v>27</v>
      </c>
      <c r="BK130" s="38">
        <v>24</v>
      </c>
      <c r="BL130" s="37">
        <v>100</v>
      </c>
      <c r="BM130" s="37">
        <v>100</v>
      </c>
      <c r="BN130" s="37">
        <v>100</v>
      </c>
      <c r="BO130" s="38">
        <v>59</v>
      </c>
      <c r="BP130" s="38">
        <v>34</v>
      </c>
      <c r="BQ130" s="38">
        <v>25</v>
      </c>
      <c r="BR130" s="37">
        <v>86.440677966101703</v>
      </c>
      <c r="BS130" s="37">
        <v>79.411764705882348</v>
      </c>
      <c r="BT130" s="37">
        <v>96</v>
      </c>
      <c r="BU130" s="2"/>
      <c r="BV130" s="2"/>
    </row>
    <row r="131" spans="1:74" ht="15.75" x14ac:dyDescent="0.3">
      <c r="A131" s="2" t="s">
        <v>54</v>
      </c>
      <c r="B131" s="2" t="s">
        <v>55</v>
      </c>
      <c r="C131" s="2" t="s">
        <v>56</v>
      </c>
      <c r="D131" s="2" t="s">
        <v>674</v>
      </c>
      <c r="E131" s="2" t="s">
        <v>674</v>
      </c>
      <c r="F131" s="2" t="s">
        <v>675</v>
      </c>
      <c r="G131" s="2" t="s">
        <v>60</v>
      </c>
      <c r="H131" s="2" t="s">
        <v>61</v>
      </c>
      <c r="I131" s="2" t="s">
        <v>62</v>
      </c>
      <c r="J131" s="2" t="s">
        <v>63</v>
      </c>
      <c r="K131" s="2" t="s">
        <v>159</v>
      </c>
      <c r="L131" s="2" t="s">
        <v>725</v>
      </c>
      <c r="M131" s="2">
        <v>17</v>
      </c>
      <c r="N131" s="2" t="s">
        <v>726</v>
      </c>
      <c r="O131" s="2" t="s">
        <v>727</v>
      </c>
      <c r="P131" s="2" t="s">
        <v>80</v>
      </c>
      <c r="Q131" s="2" t="s">
        <v>69</v>
      </c>
      <c r="R131" s="2" t="s">
        <v>70</v>
      </c>
      <c r="S131" s="2" t="s">
        <v>728</v>
      </c>
      <c r="T131" s="2" t="s">
        <v>729</v>
      </c>
      <c r="U131" s="2" t="s">
        <v>730</v>
      </c>
      <c r="V131" s="2" t="s">
        <v>729</v>
      </c>
      <c r="W131" s="2" t="s">
        <v>74</v>
      </c>
      <c r="X131" s="38">
        <v>92</v>
      </c>
      <c r="Y131" s="38">
        <v>43</v>
      </c>
      <c r="Z131" s="38">
        <v>49</v>
      </c>
      <c r="AA131" s="38">
        <v>68</v>
      </c>
      <c r="AB131" s="38">
        <v>30</v>
      </c>
      <c r="AC131" s="38">
        <v>38</v>
      </c>
      <c r="AD131" s="38">
        <v>22</v>
      </c>
      <c r="AE131" s="38">
        <v>11</v>
      </c>
      <c r="AF131" s="38">
        <v>11</v>
      </c>
      <c r="AG131" s="38">
        <v>0</v>
      </c>
      <c r="AH131" s="38">
        <v>0</v>
      </c>
      <c r="AI131" s="38">
        <v>0</v>
      </c>
      <c r="AJ131" s="38">
        <v>2</v>
      </c>
      <c r="AK131" s="37">
        <v>2.1739130434782608</v>
      </c>
      <c r="AL131" s="40">
        <f t="shared" si="4"/>
        <v>2</v>
      </c>
      <c r="AM131" s="37">
        <f t="shared" si="5"/>
        <v>4.6511627906976747</v>
      </c>
      <c r="AN131" s="40">
        <f t="shared" si="6"/>
        <v>0</v>
      </c>
      <c r="AO131" s="37">
        <f t="shared" si="7"/>
        <v>0</v>
      </c>
      <c r="AP131" s="38">
        <v>109</v>
      </c>
      <c r="AQ131" s="38">
        <v>54</v>
      </c>
      <c r="AR131" s="38">
        <v>55</v>
      </c>
      <c r="AS131" s="38">
        <v>46</v>
      </c>
      <c r="AT131" s="38">
        <v>19</v>
      </c>
      <c r="AU131" s="38">
        <v>27</v>
      </c>
      <c r="AV131" s="38">
        <v>27</v>
      </c>
      <c r="AW131" s="38">
        <v>10</v>
      </c>
      <c r="AX131" s="38">
        <v>17</v>
      </c>
      <c r="AY131" s="38">
        <v>97</v>
      </c>
      <c r="AZ131" s="38">
        <v>45</v>
      </c>
      <c r="BA131" s="38">
        <v>52</v>
      </c>
      <c r="BB131" s="38">
        <v>7</v>
      </c>
      <c r="BC131" s="37">
        <v>7.216494845360824</v>
      </c>
      <c r="BD131" s="40">
        <v>0</v>
      </c>
      <c r="BE131" s="37">
        <v>0</v>
      </c>
      <c r="BF131" s="40">
        <v>7</v>
      </c>
      <c r="BG131" s="37">
        <v>13.461538461538462</v>
      </c>
      <c r="BH131" s="38">
        <v>27</v>
      </c>
      <c r="BI131" s="38">
        <v>29</v>
      </c>
      <c r="BJ131" s="38">
        <v>11</v>
      </c>
      <c r="BK131" s="38">
        <v>18</v>
      </c>
      <c r="BL131" s="37">
        <v>93.103448275862064</v>
      </c>
      <c r="BM131" s="37">
        <v>90.909090909090907</v>
      </c>
      <c r="BN131" s="37">
        <v>94.444444444444443</v>
      </c>
      <c r="BO131" s="38">
        <v>35</v>
      </c>
      <c r="BP131" s="38">
        <v>14</v>
      </c>
      <c r="BQ131" s="38">
        <v>21</v>
      </c>
      <c r="BR131" s="37">
        <v>77.142857142857153</v>
      </c>
      <c r="BS131" s="37">
        <v>71.428571428571431</v>
      </c>
      <c r="BT131" s="37">
        <v>80.952380952380949</v>
      </c>
      <c r="BU131" s="2"/>
      <c r="BV131" s="2"/>
    </row>
    <row r="132" spans="1:74" ht="15.75" x14ac:dyDescent="0.3">
      <c r="A132" s="2" t="s">
        <v>54</v>
      </c>
      <c r="B132" s="2" t="s">
        <v>55</v>
      </c>
      <c r="C132" s="2" t="s">
        <v>56</v>
      </c>
      <c r="D132" s="2" t="s">
        <v>674</v>
      </c>
      <c r="E132" s="2" t="s">
        <v>674</v>
      </c>
      <c r="F132" s="2" t="s">
        <v>675</v>
      </c>
      <c r="G132" s="2" t="s">
        <v>60</v>
      </c>
      <c r="H132" s="2" t="s">
        <v>61</v>
      </c>
      <c r="I132" s="2" t="s">
        <v>62</v>
      </c>
      <c r="J132" s="2" t="s">
        <v>63</v>
      </c>
      <c r="K132" s="2" t="s">
        <v>731</v>
      </c>
      <c r="L132" s="2" t="s">
        <v>732</v>
      </c>
      <c r="M132" s="2">
        <v>101</v>
      </c>
      <c r="N132" s="2" t="s">
        <v>733</v>
      </c>
      <c r="O132" s="2" t="s">
        <v>734</v>
      </c>
      <c r="P132" s="2" t="s">
        <v>735</v>
      </c>
      <c r="Q132" s="2" t="s">
        <v>69</v>
      </c>
      <c r="R132" s="2" t="s">
        <v>70</v>
      </c>
      <c r="S132" s="2" t="s">
        <v>736</v>
      </c>
      <c r="T132" s="2" t="s">
        <v>737</v>
      </c>
      <c r="U132" s="2" t="s">
        <v>738</v>
      </c>
      <c r="V132" s="2" t="s">
        <v>737</v>
      </c>
      <c r="W132" s="2" t="s">
        <v>74</v>
      </c>
      <c r="X132" s="38">
        <v>80</v>
      </c>
      <c r="Y132" s="38">
        <v>28</v>
      </c>
      <c r="Z132" s="38">
        <v>52</v>
      </c>
      <c r="AA132" s="38">
        <v>74</v>
      </c>
      <c r="AB132" s="38">
        <v>25</v>
      </c>
      <c r="AC132" s="38">
        <v>49</v>
      </c>
      <c r="AD132" s="38">
        <v>6</v>
      </c>
      <c r="AE132" s="38">
        <v>3</v>
      </c>
      <c r="AF132" s="38">
        <v>3</v>
      </c>
      <c r="AG132" s="38">
        <v>0</v>
      </c>
      <c r="AH132" s="38">
        <v>0</v>
      </c>
      <c r="AI132" s="38">
        <v>0</v>
      </c>
      <c r="AJ132" s="38">
        <v>0</v>
      </c>
      <c r="AK132" s="37">
        <v>0</v>
      </c>
      <c r="AL132" s="40">
        <f t="shared" si="4"/>
        <v>0</v>
      </c>
      <c r="AM132" s="37">
        <f t="shared" si="5"/>
        <v>0</v>
      </c>
      <c r="AN132" s="40">
        <f t="shared" si="6"/>
        <v>0</v>
      </c>
      <c r="AO132" s="37">
        <f t="shared" si="7"/>
        <v>0</v>
      </c>
      <c r="AP132" s="38">
        <v>71</v>
      </c>
      <c r="AQ132" s="38">
        <v>27</v>
      </c>
      <c r="AR132" s="38">
        <v>44</v>
      </c>
      <c r="AS132" s="38">
        <v>18</v>
      </c>
      <c r="AT132" s="38">
        <v>7</v>
      </c>
      <c r="AU132" s="38">
        <v>11</v>
      </c>
      <c r="AV132" s="38">
        <v>20</v>
      </c>
      <c r="AW132" s="38">
        <v>5</v>
      </c>
      <c r="AX132" s="38">
        <v>15</v>
      </c>
      <c r="AY132" s="38">
        <v>82</v>
      </c>
      <c r="AZ132" s="38">
        <v>28</v>
      </c>
      <c r="BA132" s="38">
        <v>54</v>
      </c>
      <c r="BB132" s="38">
        <v>9</v>
      </c>
      <c r="BC132" s="37">
        <v>10.975609756097562</v>
      </c>
      <c r="BD132" s="40">
        <v>3</v>
      </c>
      <c r="BE132" s="37">
        <v>10.714285714285714</v>
      </c>
      <c r="BF132" s="40">
        <v>6</v>
      </c>
      <c r="BG132" s="37">
        <v>11.111111111111111</v>
      </c>
      <c r="BH132" s="38">
        <v>20</v>
      </c>
      <c r="BI132" s="38">
        <v>20</v>
      </c>
      <c r="BJ132" s="38">
        <v>5</v>
      </c>
      <c r="BK132" s="38">
        <v>15</v>
      </c>
      <c r="BL132" s="37">
        <v>100</v>
      </c>
      <c r="BM132" s="37">
        <v>100</v>
      </c>
      <c r="BN132" s="37">
        <v>100</v>
      </c>
      <c r="BO132" s="38">
        <v>26</v>
      </c>
      <c r="BP132" s="38">
        <v>7</v>
      </c>
      <c r="BQ132" s="38">
        <v>19</v>
      </c>
      <c r="BR132" s="37">
        <v>76.923076923076934</v>
      </c>
      <c r="BS132" s="37">
        <v>71.428571428571431</v>
      </c>
      <c r="BT132" s="37">
        <v>78.94736842105263</v>
      </c>
      <c r="BU132" s="2"/>
      <c r="BV132" s="2"/>
    </row>
    <row r="133" spans="1:74" ht="15.75" x14ac:dyDescent="0.3">
      <c r="A133" s="2" t="s">
        <v>54</v>
      </c>
      <c r="B133" s="2" t="s">
        <v>55</v>
      </c>
      <c r="C133" s="2" t="s">
        <v>105</v>
      </c>
      <c r="D133" s="2" t="s">
        <v>674</v>
      </c>
      <c r="E133" s="2" t="s">
        <v>674</v>
      </c>
      <c r="F133" s="2" t="s">
        <v>739</v>
      </c>
      <c r="G133" s="2" t="s">
        <v>60</v>
      </c>
      <c r="H133" s="2" t="s">
        <v>61</v>
      </c>
      <c r="I133" s="2" t="s">
        <v>122</v>
      </c>
      <c r="J133" s="2" t="s">
        <v>740</v>
      </c>
      <c r="K133" s="2" t="s">
        <v>159</v>
      </c>
      <c r="L133" s="2" t="s">
        <v>741</v>
      </c>
      <c r="M133" s="2">
        <v>31</v>
      </c>
      <c r="N133" s="2" t="s">
        <v>742</v>
      </c>
      <c r="O133" s="2" t="s">
        <v>743</v>
      </c>
      <c r="P133" s="2" t="s">
        <v>744</v>
      </c>
      <c r="Q133" s="2" t="s">
        <v>69</v>
      </c>
      <c r="R133" s="2" t="s">
        <v>70</v>
      </c>
      <c r="S133" s="2" t="s">
        <v>745</v>
      </c>
      <c r="T133" s="2" t="s">
        <v>746</v>
      </c>
      <c r="U133" s="2" t="s">
        <v>747</v>
      </c>
      <c r="V133" s="2" t="s">
        <v>746</v>
      </c>
      <c r="W133" s="2" t="s">
        <v>74</v>
      </c>
      <c r="X133" s="38">
        <v>183</v>
      </c>
      <c r="Y133" s="38">
        <v>92</v>
      </c>
      <c r="Z133" s="38">
        <v>91</v>
      </c>
      <c r="AA133" s="38">
        <v>155</v>
      </c>
      <c r="AB133" s="38">
        <v>77</v>
      </c>
      <c r="AC133" s="38">
        <v>78</v>
      </c>
      <c r="AD133" s="38">
        <v>12</v>
      </c>
      <c r="AE133" s="38">
        <v>6</v>
      </c>
      <c r="AF133" s="38">
        <v>6</v>
      </c>
      <c r="AG133" s="38">
        <v>0</v>
      </c>
      <c r="AH133" s="38">
        <v>0</v>
      </c>
      <c r="AI133" s="38">
        <v>0</v>
      </c>
      <c r="AJ133" s="38">
        <v>16</v>
      </c>
      <c r="AK133" s="37">
        <v>8.7431693989071047</v>
      </c>
      <c r="AL133" s="40">
        <f t="shared" si="4"/>
        <v>9</v>
      </c>
      <c r="AM133" s="37">
        <f t="shared" si="5"/>
        <v>9.7826086956521738</v>
      </c>
      <c r="AN133" s="40">
        <f t="shared" si="6"/>
        <v>7</v>
      </c>
      <c r="AO133" s="37">
        <f t="shared" si="7"/>
        <v>7.6923076923076925</v>
      </c>
      <c r="AP133" s="38">
        <v>203</v>
      </c>
      <c r="AQ133" s="38">
        <v>106</v>
      </c>
      <c r="AR133" s="38">
        <v>97</v>
      </c>
      <c r="AS133" s="38">
        <v>75</v>
      </c>
      <c r="AT133" s="38">
        <v>48</v>
      </c>
      <c r="AU133" s="38">
        <v>27</v>
      </c>
      <c r="AV133" s="38">
        <v>65</v>
      </c>
      <c r="AW133" s="38">
        <v>38</v>
      </c>
      <c r="AX133" s="38">
        <v>27</v>
      </c>
      <c r="AY133" s="38">
        <v>194</v>
      </c>
      <c r="AZ133" s="38">
        <v>99</v>
      </c>
      <c r="BA133" s="38">
        <v>95</v>
      </c>
      <c r="BB133" s="38">
        <v>1</v>
      </c>
      <c r="BC133" s="37">
        <v>0.51546391752577314</v>
      </c>
      <c r="BD133" s="40">
        <v>3</v>
      </c>
      <c r="BE133" s="37">
        <v>3.0303030303030303</v>
      </c>
      <c r="BF133" s="40">
        <v>-2</v>
      </c>
      <c r="BG133" s="37">
        <v>-2.1052631578947367</v>
      </c>
      <c r="BH133" s="38">
        <v>65</v>
      </c>
      <c r="BI133" s="38">
        <v>65</v>
      </c>
      <c r="BJ133" s="38">
        <v>38</v>
      </c>
      <c r="BK133" s="38">
        <v>27</v>
      </c>
      <c r="BL133" s="37">
        <v>100</v>
      </c>
      <c r="BM133" s="37">
        <v>100</v>
      </c>
      <c r="BN133" s="37">
        <v>100</v>
      </c>
      <c r="BO133" s="38">
        <v>64</v>
      </c>
      <c r="BP133" s="38">
        <v>40</v>
      </c>
      <c r="BQ133" s="38">
        <v>24</v>
      </c>
      <c r="BR133" s="37">
        <v>101.5625</v>
      </c>
      <c r="BS133" s="37">
        <v>95</v>
      </c>
      <c r="BT133" s="37">
        <v>112.5</v>
      </c>
      <c r="BU133" s="2"/>
      <c r="BV133" s="2"/>
    </row>
    <row r="134" spans="1:74" ht="15.75" x14ac:dyDescent="0.3">
      <c r="A134" s="2" t="s">
        <v>54</v>
      </c>
      <c r="B134" s="2" t="s">
        <v>55</v>
      </c>
      <c r="C134" s="2" t="s">
        <v>105</v>
      </c>
      <c r="D134" s="2" t="s">
        <v>674</v>
      </c>
      <c r="E134" s="2" t="s">
        <v>674</v>
      </c>
      <c r="F134" s="2" t="s">
        <v>675</v>
      </c>
      <c r="G134" s="2" t="s">
        <v>60</v>
      </c>
      <c r="H134" s="2" t="s">
        <v>61</v>
      </c>
      <c r="I134" s="2" t="s">
        <v>178</v>
      </c>
      <c r="J134" s="2" t="s">
        <v>178</v>
      </c>
      <c r="K134" s="2" t="s">
        <v>159</v>
      </c>
      <c r="L134" s="2" t="s">
        <v>748</v>
      </c>
      <c r="M134" s="2">
        <v>20</v>
      </c>
      <c r="N134" s="2" t="s">
        <v>749</v>
      </c>
      <c r="O134" s="2" t="s">
        <v>750</v>
      </c>
      <c r="P134" s="2" t="s">
        <v>80</v>
      </c>
      <c r="Q134" s="2" t="s">
        <v>90</v>
      </c>
      <c r="R134" s="2" t="s">
        <v>91</v>
      </c>
      <c r="S134" s="2" t="s">
        <v>751</v>
      </c>
      <c r="T134" s="2" t="s">
        <v>122</v>
      </c>
      <c r="U134" s="2" t="s">
        <v>752</v>
      </c>
      <c r="V134" s="2" t="s">
        <v>122</v>
      </c>
      <c r="W134" s="2" t="s">
        <v>74</v>
      </c>
      <c r="X134" s="38">
        <v>38</v>
      </c>
      <c r="Y134" s="38">
        <v>19</v>
      </c>
      <c r="Z134" s="38">
        <v>19</v>
      </c>
      <c r="AA134" s="38">
        <v>38</v>
      </c>
      <c r="AB134" s="38">
        <v>19</v>
      </c>
      <c r="AC134" s="38">
        <v>19</v>
      </c>
      <c r="AD134" s="38">
        <v>0</v>
      </c>
      <c r="AE134" s="38">
        <v>0</v>
      </c>
      <c r="AF134" s="38">
        <v>0</v>
      </c>
      <c r="AG134" s="38">
        <v>0</v>
      </c>
      <c r="AH134" s="38">
        <v>0</v>
      </c>
      <c r="AI134" s="38">
        <v>0</v>
      </c>
      <c r="AJ134" s="38">
        <v>0</v>
      </c>
      <c r="AK134" s="37">
        <v>0</v>
      </c>
      <c r="AL134" s="40">
        <f t="shared" si="4"/>
        <v>0</v>
      </c>
      <c r="AM134" s="37">
        <f t="shared" si="5"/>
        <v>0</v>
      </c>
      <c r="AN134" s="40">
        <f t="shared" si="6"/>
        <v>0</v>
      </c>
      <c r="AO134" s="37">
        <f t="shared" si="7"/>
        <v>0</v>
      </c>
      <c r="AP134" s="38">
        <v>49</v>
      </c>
      <c r="AQ134" s="38">
        <v>24</v>
      </c>
      <c r="AR134" s="38">
        <v>25</v>
      </c>
      <c r="AS134" s="38">
        <v>19</v>
      </c>
      <c r="AT134" s="38">
        <v>9</v>
      </c>
      <c r="AU134" s="38">
        <v>10</v>
      </c>
      <c r="AV134" s="38">
        <v>9</v>
      </c>
      <c r="AW134" s="38">
        <v>7</v>
      </c>
      <c r="AX134" s="38">
        <v>2</v>
      </c>
      <c r="AY134" s="38">
        <v>35</v>
      </c>
      <c r="AZ134" s="38">
        <v>15</v>
      </c>
      <c r="BA134" s="38">
        <v>20</v>
      </c>
      <c r="BB134" s="38">
        <v>-4</v>
      </c>
      <c r="BC134" s="37">
        <v>-11.428571428571429</v>
      </c>
      <c r="BD134" s="40">
        <v>-7</v>
      </c>
      <c r="BE134" s="37">
        <v>-46.666666666666664</v>
      </c>
      <c r="BF134" s="40">
        <v>3</v>
      </c>
      <c r="BG134" s="37">
        <v>15</v>
      </c>
      <c r="BH134" s="38">
        <v>9</v>
      </c>
      <c r="BI134" s="38">
        <v>8</v>
      </c>
      <c r="BJ134" s="38">
        <v>6</v>
      </c>
      <c r="BK134" s="38">
        <v>2</v>
      </c>
      <c r="BL134" s="37">
        <v>112.5</v>
      </c>
      <c r="BM134" s="37">
        <v>116.66666666666667</v>
      </c>
      <c r="BN134" s="37">
        <v>100</v>
      </c>
      <c r="BO134" s="38">
        <v>10</v>
      </c>
      <c r="BP134" s="38">
        <v>7</v>
      </c>
      <c r="BQ134" s="38">
        <v>3</v>
      </c>
      <c r="BR134" s="37">
        <v>90</v>
      </c>
      <c r="BS134" s="37">
        <v>100</v>
      </c>
      <c r="BT134" s="37">
        <v>66.666666666666657</v>
      </c>
      <c r="BU134" s="2"/>
      <c r="BV134" s="2"/>
    </row>
    <row r="135" spans="1:74" ht="15.75" x14ac:dyDescent="0.3">
      <c r="A135" s="2" t="s">
        <v>54</v>
      </c>
      <c r="B135" s="2" t="s">
        <v>55</v>
      </c>
      <c r="C135" s="2" t="s">
        <v>105</v>
      </c>
      <c r="D135" s="2" t="s">
        <v>674</v>
      </c>
      <c r="E135" s="2" t="s">
        <v>674</v>
      </c>
      <c r="F135" s="2" t="s">
        <v>675</v>
      </c>
      <c r="G135" s="2" t="s">
        <v>60</v>
      </c>
      <c r="H135" s="2" t="s">
        <v>61</v>
      </c>
      <c r="I135" s="2" t="s">
        <v>178</v>
      </c>
      <c r="J135" s="2" t="s">
        <v>178</v>
      </c>
      <c r="K135" s="2" t="s">
        <v>753</v>
      </c>
      <c r="L135" s="2" t="s">
        <v>754</v>
      </c>
      <c r="M135" s="2">
        <v>11</v>
      </c>
      <c r="N135" s="2" t="s">
        <v>755</v>
      </c>
      <c r="O135" s="2" t="s">
        <v>756</v>
      </c>
      <c r="P135" s="2" t="s">
        <v>80</v>
      </c>
      <c r="Q135" s="2" t="s">
        <v>90</v>
      </c>
      <c r="R135" s="2" t="s">
        <v>91</v>
      </c>
      <c r="S135" s="2" t="s">
        <v>757</v>
      </c>
      <c r="T135" s="2" t="s">
        <v>758</v>
      </c>
      <c r="U135" s="2" t="s">
        <v>759</v>
      </c>
      <c r="V135" s="2" t="s">
        <v>758</v>
      </c>
      <c r="W135" s="2" t="s">
        <v>74</v>
      </c>
      <c r="X135" s="38">
        <v>20</v>
      </c>
      <c r="Y135" s="38">
        <v>13</v>
      </c>
      <c r="Z135" s="38">
        <v>7</v>
      </c>
      <c r="AA135" s="38">
        <v>20</v>
      </c>
      <c r="AB135" s="38">
        <v>13</v>
      </c>
      <c r="AC135" s="38">
        <v>7</v>
      </c>
      <c r="AD135" s="38">
        <v>0</v>
      </c>
      <c r="AE135" s="38">
        <v>0</v>
      </c>
      <c r="AF135" s="38">
        <v>0</v>
      </c>
      <c r="AG135" s="38">
        <v>0</v>
      </c>
      <c r="AH135" s="38">
        <v>0</v>
      </c>
      <c r="AI135" s="38">
        <v>0</v>
      </c>
      <c r="AJ135" s="38">
        <v>0</v>
      </c>
      <c r="AK135" s="37">
        <v>0</v>
      </c>
      <c r="AL135" s="40">
        <f t="shared" si="4"/>
        <v>0</v>
      </c>
      <c r="AM135" s="37">
        <f t="shared" si="5"/>
        <v>0</v>
      </c>
      <c r="AN135" s="40">
        <f t="shared" si="6"/>
        <v>0</v>
      </c>
      <c r="AO135" s="37">
        <f t="shared" si="7"/>
        <v>0</v>
      </c>
      <c r="AP135" s="38">
        <v>19</v>
      </c>
      <c r="AQ135" s="38">
        <v>15</v>
      </c>
      <c r="AR135" s="38">
        <v>4</v>
      </c>
      <c r="AS135" s="38">
        <v>14</v>
      </c>
      <c r="AT135" s="38">
        <v>11</v>
      </c>
      <c r="AU135" s="38">
        <v>3</v>
      </c>
      <c r="AV135" s="38">
        <v>0</v>
      </c>
      <c r="AW135" s="38">
        <v>0</v>
      </c>
      <c r="AX135" s="38">
        <v>0</v>
      </c>
      <c r="AY135" s="38">
        <v>20</v>
      </c>
      <c r="AZ135" s="38">
        <v>13</v>
      </c>
      <c r="BA135" s="38">
        <v>7</v>
      </c>
      <c r="BB135" s="38">
        <v>15</v>
      </c>
      <c r="BC135" s="37">
        <v>75</v>
      </c>
      <c r="BD135" s="40">
        <v>9</v>
      </c>
      <c r="BE135" s="37">
        <v>69.230769230769226</v>
      </c>
      <c r="BF135" s="40">
        <v>6</v>
      </c>
      <c r="BG135" s="37">
        <v>85.714285714285708</v>
      </c>
      <c r="BH135" s="38">
        <v>0</v>
      </c>
      <c r="BI135" s="38">
        <v>12</v>
      </c>
      <c r="BJ135" s="38">
        <v>8</v>
      </c>
      <c r="BK135" s="38">
        <v>4</v>
      </c>
      <c r="BL135" s="37">
        <v>0</v>
      </c>
      <c r="BM135" s="37">
        <v>0</v>
      </c>
      <c r="BN135" s="37">
        <v>0</v>
      </c>
      <c r="BO135" s="38">
        <v>14</v>
      </c>
      <c r="BP135" s="38">
        <v>8</v>
      </c>
      <c r="BQ135" s="38">
        <v>6</v>
      </c>
      <c r="BR135" s="37">
        <v>0</v>
      </c>
      <c r="BS135" s="37">
        <v>0</v>
      </c>
      <c r="BT135" s="37">
        <v>0</v>
      </c>
      <c r="BU135" s="2"/>
      <c r="BV135" s="2"/>
    </row>
    <row r="136" spans="1:74" ht="15.75" x14ac:dyDescent="0.3">
      <c r="A136" s="2" t="s">
        <v>54</v>
      </c>
      <c r="B136" s="2" t="s">
        <v>55</v>
      </c>
      <c r="C136" s="2" t="s">
        <v>56</v>
      </c>
      <c r="D136" s="2" t="s">
        <v>674</v>
      </c>
      <c r="E136" s="2" t="s">
        <v>674</v>
      </c>
      <c r="F136" s="2" t="s">
        <v>675</v>
      </c>
      <c r="G136" s="2" t="s">
        <v>60</v>
      </c>
      <c r="H136" s="2" t="s">
        <v>61</v>
      </c>
      <c r="I136" s="2" t="s">
        <v>62</v>
      </c>
      <c r="J136" s="2" t="s">
        <v>63</v>
      </c>
      <c r="K136" s="2" t="s">
        <v>760</v>
      </c>
      <c r="L136" s="2" t="s">
        <v>761</v>
      </c>
      <c r="M136" s="2">
        <v>148</v>
      </c>
      <c r="N136" s="2" t="s">
        <v>762</v>
      </c>
      <c r="O136" s="2" t="s">
        <v>763</v>
      </c>
      <c r="P136" s="2" t="s">
        <v>764</v>
      </c>
      <c r="Q136" s="2" t="s">
        <v>69</v>
      </c>
      <c r="R136" s="2" t="s">
        <v>70</v>
      </c>
      <c r="S136" s="2" t="s">
        <v>765</v>
      </c>
      <c r="T136" s="2" t="s">
        <v>766</v>
      </c>
      <c r="U136" s="2" t="s">
        <v>767</v>
      </c>
      <c r="V136" s="2" t="s">
        <v>766</v>
      </c>
      <c r="W136" s="2" t="s">
        <v>74</v>
      </c>
      <c r="X136" s="38">
        <v>48</v>
      </c>
      <c r="Y136" s="38">
        <v>23</v>
      </c>
      <c r="Z136" s="38">
        <v>25</v>
      </c>
      <c r="AA136" s="38">
        <v>44</v>
      </c>
      <c r="AB136" s="38">
        <v>20</v>
      </c>
      <c r="AC136" s="38">
        <v>24</v>
      </c>
      <c r="AD136" s="38">
        <v>4</v>
      </c>
      <c r="AE136" s="38">
        <v>3</v>
      </c>
      <c r="AF136" s="38">
        <v>1</v>
      </c>
      <c r="AG136" s="38">
        <v>0</v>
      </c>
      <c r="AH136" s="38">
        <v>0</v>
      </c>
      <c r="AI136" s="38">
        <v>0</v>
      </c>
      <c r="AJ136" s="38">
        <v>0</v>
      </c>
      <c r="AK136" s="37">
        <v>0</v>
      </c>
      <c r="AL136" s="40">
        <f t="shared" si="4"/>
        <v>0</v>
      </c>
      <c r="AM136" s="37">
        <f t="shared" si="5"/>
        <v>0</v>
      </c>
      <c r="AN136" s="40">
        <f t="shared" si="6"/>
        <v>0</v>
      </c>
      <c r="AO136" s="37">
        <f t="shared" si="7"/>
        <v>0</v>
      </c>
      <c r="AP136" s="38">
        <v>58</v>
      </c>
      <c r="AQ136" s="38">
        <v>29</v>
      </c>
      <c r="AR136" s="38">
        <v>29</v>
      </c>
      <c r="AS136" s="38">
        <v>27</v>
      </c>
      <c r="AT136" s="38">
        <v>13</v>
      </c>
      <c r="AU136" s="38">
        <v>14</v>
      </c>
      <c r="AV136" s="38">
        <v>20</v>
      </c>
      <c r="AW136" s="38">
        <v>9</v>
      </c>
      <c r="AX136" s="38">
        <v>11</v>
      </c>
      <c r="AY136" s="38">
        <v>59</v>
      </c>
      <c r="AZ136" s="38">
        <v>25</v>
      </c>
      <c r="BA136" s="38">
        <v>34</v>
      </c>
      <c r="BB136" s="38">
        <v>8</v>
      </c>
      <c r="BC136" s="37">
        <v>13.559322033898304</v>
      </c>
      <c r="BD136" s="40">
        <v>0</v>
      </c>
      <c r="BE136" s="37">
        <v>0</v>
      </c>
      <c r="BF136" s="40">
        <v>8</v>
      </c>
      <c r="BG136" s="37">
        <v>23.52941176470588</v>
      </c>
      <c r="BH136" s="38">
        <v>20</v>
      </c>
      <c r="BI136" s="38">
        <v>23</v>
      </c>
      <c r="BJ136" s="38">
        <v>9</v>
      </c>
      <c r="BK136" s="38">
        <v>14</v>
      </c>
      <c r="BL136" s="37">
        <v>86.956521739130437</v>
      </c>
      <c r="BM136" s="37">
        <v>100</v>
      </c>
      <c r="BN136" s="37">
        <v>78.571428571428569</v>
      </c>
      <c r="BO136" s="38">
        <v>27</v>
      </c>
      <c r="BP136" s="38">
        <v>14</v>
      </c>
      <c r="BQ136" s="38">
        <v>13</v>
      </c>
      <c r="BR136" s="37">
        <v>74.074074074074076</v>
      </c>
      <c r="BS136" s="37">
        <v>64.285714285714292</v>
      </c>
      <c r="BT136" s="37">
        <v>84.615384615384613</v>
      </c>
      <c r="BU136" s="2"/>
      <c r="BV136" s="2"/>
    </row>
    <row r="137" spans="1:74" ht="15.75" x14ac:dyDescent="0.3">
      <c r="A137" s="2" t="s">
        <v>54</v>
      </c>
      <c r="B137" s="2" t="s">
        <v>55</v>
      </c>
      <c r="C137" s="2" t="s">
        <v>56</v>
      </c>
      <c r="D137" s="2" t="s">
        <v>674</v>
      </c>
      <c r="E137" s="2" t="s">
        <v>674</v>
      </c>
      <c r="F137" s="2" t="s">
        <v>675</v>
      </c>
      <c r="G137" s="2" t="s">
        <v>60</v>
      </c>
      <c r="H137" s="2" t="s">
        <v>61</v>
      </c>
      <c r="I137" s="2" t="s">
        <v>62</v>
      </c>
      <c r="J137" s="2" t="s">
        <v>63</v>
      </c>
      <c r="K137" s="2" t="s">
        <v>768</v>
      </c>
      <c r="L137" s="2" t="s">
        <v>769</v>
      </c>
      <c r="M137" s="2">
        <v>500</v>
      </c>
      <c r="N137" s="2" t="s">
        <v>770</v>
      </c>
      <c r="O137" s="2" t="s">
        <v>771</v>
      </c>
      <c r="P137" s="2" t="s">
        <v>772</v>
      </c>
      <c r="Q137" s="2" t="s">
        <v>69</v>
      </c>
      <c r="R137" s="2" t="s">
        <v>70</v>
      </c>
      <c r="S137" s="2" t="s">
        <v>773</v>
      </c>
      <c r="T137" s="2" t="s">
        <v>774</v>
      </c>
      <c r="U137" s="2" t="s">
        <v>775</v>
      </c>
      <c r="V137" s="2" t="s">
        <v>774</v>
      </c>
      <c r="W137" s="2" t="s">
        <v>74</v>
      </c>
      <c r="X137" s="38">
        <v>1692</v>
      </c>
      <c r="Y137" s="38">
        <v>764</v>
      </c>
      <c r="Z137" s="38">
        <v>928</v>
      </c>
      <c r="AA137" s="38">
        <v>1194</v>
      </c>
      <c r="AB137" s="38">
        <v>516</v>
      </c>
      <c r="AC137" s="38">
        <v>678</v>
      </c>
      <c r="AD137" s="38">
        <v>0</v>
      </c>
      <c r="AE137" s="38">
        <v>0</v>
      </c>
      <c r="AF137" s="38">
        <v>0</v>
      </c>
      <c r="AG137" s="38">
        <v>0</v>
      </c>
      <c r="AH137" s="38">
        <v>0</v>
      </c>
      <c r="AI137" s="38">
        <v>0</v>
      </c>
      <c r="AJ137" s="38">
        <v>498</v>
      </c>
      <c r="AK137" s="37">
        <v>29.432624113475175</v>
      </c>
      <c r="AL137" s="40">
        <f t="shared" si="4"/>
        <v>248</v>
      </c>
      <c r="AM137" s="37">
        <f t="shared" si="5"/>
        <v>32.460732984293195</v>
      </c>
      <c r="AN137" s="40">
        <f t="shared" si="6"/>
        <v>250</v>
      </c>
      <c r="AO137" s="37">
        <f t="shared" si="7"/>
        <v>26.939655172413797</v>
      </c>
      <c r="AP137" s="38">
        <v>1695</v>
      </c>
      <c r="AQ137" s="38">
        <v>754</v>
      </c>
      <c r="AR137" s="38">
        <v>941</v>
      </c>
      <c r="AS137" s="38">
        <v>628</v>
      </c>
      <c r="AT137" s="38">
        <v>288</v>
      </c>
      <c r="AU137" s="38">
        <v>340</v>
      </c>
      <c r="AV137" s="38">
        <v>484</v>
      </c>
      <c r="AW137" s="38">
        <v>228</v>
      </c>
      <c r="AX137" s="38">
        <v>256</v>
      </c>
      <c r="AY137" s="38">
        <v>1678</v>
      </c>
      <c r="AZ137" s="38">
        <v>762</v>
      </c>
      <c r="BA137" s="38">
        <v>916</v>
      </c>
      <c r="BB137" s="38">
        <v>127</v>
      </c>
      <c r="BC137" s="37">
        <v>7.5685339690107263</v>
      </c>
      <c r="BD137" s="40">
        <v>68</v>
      </c>
      <c r="BE137" s="37">
        <v>8.9238845144356951</v>
      </c>
      <c r="BF137" s="40">
        <v>59</v>
      </c>
      <c r="BG137" s="37">
        <v>6.4410480349344974</v>
      </c>
      <c r="BH137" s="38">
        <v>484</v>
      </c>
      <c r="BI137" s="38">
        <v>528</v>
      </c>
      <c r="BJ137" s="38">
        <v>255</v>
      </c>
      <c r="BK137" s="38">
        <v>273</v>
      </c>
      <c r="BL137" s="37">
        <v>91.666666666666657</v>
      </c>
      <c r="BM137" s="37">
        <v>89.411764705882362</v>
      </c>
      <c r="BN137" s="37">
        <v>93.772893772893767</v>
      </c>
      <c r="BO137" s="38">
        <v>585</v>
      </c>
      <c r="BP137" s="38">
        <v>289</v>
      </c>
      <c r="BQ137" s="38">
        <v>296</v>
      </c>
      <c r="BR137" s="37">
        <v>82.735042735042725</v>
      </c>
      <c r="BS137" s="37">
        <v>78.892733564013838</v>
      </c>
      <c r="BT137" s="37">
        <v>86.486486486486484</v>
      </c>
      <c r="BU137" s="2"/>
      <c r="BV137" s="2"/>
    </row>
    <row r="138" spans="1:74" ht="15.75" x14ac:dyDescent="0.3">
      <c r="A138" s="2" t="s">
        <v>54</v>
      </c>
      <c r="B138" s="2" t="s">
        <v>55</v>
      </c>
      <c r="C138" s="2" t="s">
        <v>56</v>
      </c>
      <c r="D138" s="2" t="s">
        <v>674</v>
      </c>
      <c r="E138" s="2" t="s">
        <v>674</v>
      </c>
      <c r="F138" s="2" t="s">
        <v>675</v>
      </c>
      <c r="G138" s="2" t="s">
        <v>60</v>
      </c>
      <c r="H138" s="2" t="s">
        <v>61</v>
      </c>
      <c r="I138" s="2" t="s">
        <v>62</v>
      </c>
      <c r="J138" s="2" t="s">
        <v>63</v>
      </c>
      <c r="K138" s="2" t="s">
        <v>776</v>
      </c>
      <c r="L138" s="2" t="s">
        <v>777</v>
      </c>
      <c r="M138" s="2">
        <v>101</v>
      </c>
      <c r="N138" s="2" t="s">
        <v>778</v>
      </c>
      <c r="O138" s="2" t="s">
        <v>779</v>
      </c>
      <c r="P138" s="2" t="s">
        <v>780</v>
      </c>
      <c r="Q138" s="2" t="s">
        <v>69</v>
      </c>
      <c r="R138" s="2" t="s">
        <v>70</v>
      </c>
      <c r="S138" s="2" t="s">
        <v>781</v>
      </c>
      <c r="T138" s="2" t="s">
        <v>782</v>
      </c>
      <c r="U138" s="2" t="s">
        <v>783</v>
      </c>
      <c r="V138" s="2" t="s">
        <v>782</v>
      </c>
      <c r="W138" s="2" t="s">
        <v>74</v>
      </c>
      <c r="X138" s="38">
        <v>69</v>
      </c>
      <c r="Y138" s="38">
        <v>34</v>
      </c>
      <c r="Z138" s="38">
        <v>35</v>
      </c>
      <c r="AA138" s="38">
        <v>69</v>
      </c>
      <c r="AB138" s="38">
        <v>34</v>
      </c>
      <c r="AC138" s="38">
        <v>35</v>
      </c>
      <c r="AD138" s="38">
        <v>0</v>
      </c>
      <c r="AE138" s="38">
        <v>0</v>
      </c>
      <c r="AF138" s="38">
        <v>0</v>
      </c>
      <c r="AG138" s="38">
        <v>0</v>
      </c>
      <c r="AH138" s="38">
        <v>0</v>
      </c>
      <c r="AI138" s="38">
        <v>0</v>
      </c>
      <c r="AJ138" s="38">
        <v>0</v>
      </c>
      <c r="AK138" s="37">
        <v>0</v>
      </c>
      <c r="AL138" s="40">
        <f t="shared" si="4"/>
        <v>0</v>
      </c>
      <c r="AM138" s="37">
        <f t="shared" si="5"/>
        <v>0</v>
      </c>
      <c r="AN138" s="40">
        <f t="shared" si="6"/>
        <v>0</v>
      </c>
      <c r="AO138" s="37">
        <f t="shared" si="7"/>
        <v>0</v>
      </c>
      <c r="AP138" s="38">
        <v>72</v>
      </c>
      <c r="AQ138" s="38">
        <v>43</v>
      </c>
      <c r="AR138" s="38">
        <v>29</v>
      </c>
      <c r="AS138" s="38">
        <v>30</v>
      </c>
      <c r="AT138" s="38">
        <v>18</v>
      </c>
      <c r="AU138" s="38">
        <v>12</v>
      </c>
      <c r="AV138" s="38">
        <v>21</v>
      </c>
      <c r="AW138" s="38">
        <v>7</v>
      </c>
      <c r="AX138" s="38">
        <v>14</v>
      </c>
      <c r="AY138" s="38">
        <v>71</v>
      </c>
      <c r="AZ138" s="38">
        <v>34</v>
      </c>
      <c r="BA138" s="38">
        <v>37</v>
      </c>
      <c r="BB138" s="38">
        <v>8</v>
      </c>
      <c r="BC138" s="37">
        <v>11.267605633802818</v>
      </c>
      <c r="BD138" s="40">
        <v>2</v>
      </c>
      <c r="BE138" s="37">
        <v>5.8823529411764701</v>
      </c>
      <c r="BF138" s="40">
        <v>6</v>
      </c>
      <c r="BG138" s="37">
        <v>16.216216216216218</v>
      </c>
      <c r="BH138" s="38">
        <v>21</v>
      </c>
      <c r="BI138" s="38">
        <v>22</v>
      </c>
      <c r="BJ138" s="38">
        <v>7</v>
      </c>
      <c r="BK138" s="38">
        <v>15</v>
      </c>
      <c r="BL138" s="37">
        <v>95.454545454545453</v>
      </c>
      <c r="BM138" s="37">
        <v>100</v>
      </c>
      <c r="BN138" s="37">
        <v>93.333333333333329</v>
      </c>
      <c r="BO138" s="38">
        <v>29</v>
      </c>
      <c r="BP138" s="38">
        <v>11</v>
      </c>
      <c r="BQ138" s="38">
        <v>18</v>
      </c>
      <c r="BR138" s="37">
        <v>72.41379310344827</v>
      </c>
      <c r="BS138" s="37">
        <v>63.636363636363633</v>
      </c>
      <c r="BT138" s="37">
        <v>77.777777777777786</v>
      </c>
      <c r="BU138" s="2"/>
      <c r="BV138" s="2"/>
    </row>
    <row r="139" spans="1:74" ht="15.75" x14ac:dyDescent="0.3">
      <c r="A139" s="2" t="s">
        <v>54</v>
      </c>
      <c r="B139" s="2" t="s">
        <v>55</v>
      </c>
      <c r="C139" s="2" t="s">
        <v>105</v>
      </c>
      <c r="D139" s="2" t="s">
        <v>674</v>
      </c>
      <c r="E139" s="2" t="s">
        <v>674</v>
      </c>
      <c r="F139" s="2" t="s">
        <v>675</v>
      </c>
      <c r="G139" s="2" t="s">
        <v>60</v>
      </c>
      <c r="H139" s="2" t="s">
        <v>61</v>
      </c>
      <c r="I139" s="2" t="s">
        <v>178</v>
      </c>
      <c r="J139" s="2" t="s">
        <v>178</v>
      </c>
      <c r="K139" s="2" t="s">
        <v>784</v>
      </c>
      <c r="L139" s="2" t="s">
        <v>785</v>
      </c>
      <c r="M139" s="2">
        <v>291</v>
      </c>
      <c r="N139" s="2" t="s">
        <v>786</v>
      </c>
      <c r="O139" s="2" t="s">
        <v>787</v>
      </c>
      <c r="P139" s="2" t="s">
        <v>80</v>
      </c>
      <c r="Q139" s="2" t="s">
        <v>90</v>
      </c>
      <c r="R139" s="2" t="s">
        <v>91</v>
      </c>
      <c r="S139" s="2" t="s">
        <v>788</v>
      </c>
      <c r="T139" s="2" t="s">
        <v>789</v>
      </c>
      <c r="U139" s="2" t="s">
        <v>790</v>
      </c>
      <c r="V139" s="2" t="s">
        <v>789</v>
      </c>
      <c r="W139" s="2" t="s">
        <v>74</v>
      </c>
      <c r="X139" s="38">
        <v>126</v>
      </c>
      <c r="Y139" s="38">
        <v>63</v>
      </c>
      <c r="Z139" s="38">
        <v>63</v>
      </c>
      <c r="AA139" s="38">
        <v>119</v>
      </c>
      <c r="AB139" s="38">
        <v>60</v>
      </c>
      <c r="AC139" s="38">
        <v>59</v>
      </c>
      <c r="AD139" s="38">
        <v>7</v>
      </c>
      <c r="AE139" s="38">
        <v>3</v>
      </c>
      <c r="AF139" s="38">
        <v>4</v>
      </c>
      <c r="AG139" s="38">
        <v>0</v>
      </c>
      <c r="AH139" s="38">
        <v>0</v>
      </c>
      <c r="AI139" s="38">
        <v>0</v>
      </c>
      <c r="AJ139" s="38">
        <v>0</v>
      </c>
      <c r="AK139" s="37">
        <v>0</v>
      </c>
      <c r="AL139" s="40">
        <f t="shared" si="4"/>
        <v>0</v>
      </c>
      <c r="AM139" s="37">
        <f t="shared" si="5"/>
        <v>0</v>
      </c>
      <c r="AN139" s="40">
        <f t="shared" si="6"/>
        <v>0</v>
      </c>
      <c r="AO139" s="37">
        <f t="shared" si="7"/>
        <v>0</v>
      </c>
      <c r="AP139" s="38">
        <v>129</v>
      </c>
      <c r="AQ139" s="38">
        <v>64</v>
      </c>
      <c r="AR139" s="38">
        <v>65</v>
      </c>
      <c r="AS139" s="38">
        <v>42</v>
      </c>
      <c r="AT139" s="38">
        <v>23</v>
      </c>
      <c r="AU139" s="38">
        <v>19</v>
      </c>
      <c r="AV139" s="38">
        <v>39</v>
      </c>
      <c r="AW139" s="38">
        <v>23</v>
      </c>
      <c r="AX139" s="38">
        <v>16</v>
      </c>
      <c r="AY139" s="38">
        <v>127</v>
      </c>
      <c r="AZ139" s="38">
        <v>66</v>
      </c>
      <c r="BA139" s="38">
        <v>61</v>
      </c>
      <c r="BB139" s="38">
        <v>1</v>
      </c>
      <c r="BC139" s="37">
        <v>0.78740157480314954</v>
      </c>
      <c r="BD139" s="40">
        <v>2</v>
      </c>
      <c r="BE139" s="37">
        <v>3.0303030303030303</v>
      </c>
      <c r="BF139" s="40">
        <v>-1</v>
      </c>
      <c r="BG139" s="37">
        <v>-1.639344262295082</v>
      </c>
      <c r="BH139" s="38">
        <v>39</v>
      </c>
      <c r="BI139" s="38">
        <v>39</v>
      </c>
      <c r="BJ139" s="38">
        <v>23</v>
      </c>
      <c r="BK139" s="38">
        <v>16</v>
      </c>
      <c r="BL139" s="37">
        <v>100</v>
      </c>
      <c r="BM139" s="37">
        <v>100</v>
      </c>
      <c r="BN139" s="37">
        <v>100</v>
      </c>
      <c r="BO139" s="38">
        <v>44</v>
      </c>
      <c r="BP139" s="38">
        <v>24</v>
      </c>
      <c r="BQ139" s="38">
        <v>20</v>
      </c>
      <c r="BR139" s="37">
        <v>88.63636363636364</v>
      </c>
      <c r="BS139" s="37">
        <v>95.833333333333343</v>
      </c>
      <c r="BT139" s="37">
        <v>80</v>
      </c>
      <c r="BU139" s="2"/>
      <c r="BV139" s="2"/>
    </row>
    <row r="140" spans="1:74" ht="15.75" x14ac:dyDescent="0.3">
      <c r="A140" s="2" t="s">
        <v>54</v>
      </c>
      <c r="B140" s="2" t="s">
        <v>55</v>
      </c>
      <c r="C140" s="2" t="s">
        <v>56</v>
      </c>
      <c r="D140" s="2" t="s">
        <v>674</v>
      </c>
      <c r="E140" s="2" t="s">
        <v>674</v>
      </c>
      <c r="F140" s="2" t="s">
        <v>675</v>
      </c>
      <c r="G140" s="2" t="s">
        <v>60</v>
      </c>
      <c r="H140" s="2" t="s">
        <v>61</v>
      </c>
      <c r="I140" s="2" t="s">
        <v>62</v>
      </c>
      <c r="J140" s="2" t="s">
        <v>63</v>
      </c>
      <c r="K140" s="2" t="s">
        <v>791</v>
      </c>
      <c r="L140" s="2" t="s">
        <v>792</v>
      </c>
      <c r="M140" s="2">
        <v>12</v>
      </c>
      <c r="N140" s="2" t="s">
        <v>793</v>
      </c>
      <c r="O140" s="2" t="s">
        <v>794</v>
      </c>
      <c r="P140" s="2" t="s">
        <v>80</v>
      </c>
      <c r="Q140" s="2" t="s">
        <v>69</v>
      </c>
      <c r="R140" s="2" t="s">
        <v>70</v>
      </c>
      <c r="S140" s="2" t="s">
        <v>795</v>
      </c>
      <c r="T140" s="2" t="s">
        <v>796</v>
      </c>
      <c r="U140" s="2" t="s">
        <v>797</v>
      </c>
      <c r="V140" s="2" t="s">
        <v>796</v>
      </c>
      <c r="W140" s="2" t="s">
        <v>74</v>
      </c>
      <c r="X140" s="38">
        <v>55</v>
      </c>
      <c r="Y140" s="38">
        <v>28</v>
      </c>
      <c r="Z140" s="38">
        <v>27</v>
      </c>
      <c r="AA140" s="38">
        <v>47</v>
      </c>
      <c r="AB140" s="38">
        <v>23</v>
      </c>
      <c r="AC140" s="38">
        <v>24</v>
      </c>
      <c r="AD140" s="38">
        <v>0</v>
      </c>
      <c r="AE140" s="38">
        <v>0</v>
      </c>
      <c r="AF140" s="38">
        <v>0</v>
      </c>
      <c r="AG140" s="38">
        <v>0</v>
      </c>
      <c r="AH140" s="38">
        <v>0</v>
      </c>
      <c r="AI140" s="38">
        <v>0</v>
      </c>
      <c r="AJ140" s="38">
        <v>8</v>
      </c>
      <c r="AK140" s="37">
        <v>14.545454545454545</v>
      </c>
      <c r="AL140" s="40">
        <f t="shared" si="4"/>
        <v>5</v>
      </c>
      <c r="AM140" s="37">
        <f t="shared" si="5"/>
        <v>17.857142857142858</v>
      </c>
      <c r="AN140" s="40">
        <f t="shared" si="6"/>
        <v>3</v>
      </c>
      <c r="AO140" s="37">
        <f t="shared" si="7"/>
        <v>11.111111111111111</v>
      </c>
      <c r="AP140" s="38">
        <v>84</v>
      </c>
      <c r="AQ140" s="38">
        <v>39</v>
      </c>
      <c r="AR140" s="38">
        <v>45</v>
      </c>
      <c r="AS140" s="38">
        <v>40</v>
      </c>
      <c r="AT140" s="38">
        <v>18</v>
      </c>
      <c r="AU140" s="38">
        <v>22</v>
      </c>
      <c r="AV140" s="38">
        <v>15</v>
      </c>
      <c r="AW140" s="38">
        <v>7</v>
      </c>
      <c r="AX140" s="38">
        <v>8</v>
      </c>
      <c r="AY140" s="38">
        <v>49</v>
      </c>
      <c r="AZ140" s="38">
        <v>28</v>
      </c>
      <c r="BA140" s="38">
        <v>21</v>
      </c>
      <c r="BB140" s="38">
        <v>-10</v>
      </c>
      <c r="BC140" s="37">
        <v>-20.408163265306122</v>
      </c>
      <c r="BD140" s="40">
        <v>0</v>
      </c>
      <c r="BE140" s="37">
        <v>0</v>
      </c>
      <c r="BF140" s="40">
        <v>-10</v>
      </c>
      <c r="BG140" s="37">
        <v>-47.619047619047613</v>
      </c>
      <c r="BH140" s="38">
        <v>15</v>
      </c>
      <c r="BI140" s="38">
        <v>16</v>
      </c>
      <c r="BJ140" s="38">
        <v>7</v>
      </c>
      <c r="BK140" s="38">
        <v>9</v>
      </c>
      <c r="BL140" s="37">
        <v>93.75</v>
      </c>
      <c r="BM140" s="37">
        <v>100</v>
      </c>
      <c r="BN140" s="37">
        <v>88.888888888888886</v>
      </c>
      <c r="BO140" s="38">
        <v>15</v>
      </c>
      <c r="BP140" s="38">
        <v>7</v>
      </c>
      <c r="BQ140" s="38">
        <v>8</v>
      </c>
      <c r="BR140" s="37">
        <v>100</v>
      </c>
      <c r="BS140" s="37">
        <v>100</v>
      </c>
      <c r="BT140" s="37">
        <v>100</v>
      </c>
      <c r="BU140" s="2"/>
      <c r="BV140" s="2"/>
    </row>
    <row r="141" spans="1:74" ht="15.75" x14ac:dyDescent="0.3">
      <c r="A141" s="2" t="s">
        <v>54</v>
      </c>
      <c r="B141" s="2" t="s">
        <v>55</v>
      </c>
      <c r="C141" s="2" t="s">
        <v>56</v>
      </c>
      <c r="D141" s="2" t="s">
        <v>674</v>
      </c>
      <c r="E141" s="2" t="s">
        <v>674</v>
      </c>
      <c r="F141" s="2" t="s">
        <v>675</v>
      </c>
      <c r="G141" s="2" t="s">
        <v>60</v>
      </c>
      <c r="H141" s="2" t="s">
        <v>61</v>
      </c>
      <c r="I141" s="2" t="s">
        <v>62</v>
      </c>
      <c r="J141" s="2" t="s">
        <v>63</v>
      </c>
      <c r="K141" s="2" t="s">
        <v>798</v>
      </c>
      <c r="L141" s="2" t="s">
        <v>365</v>
      </c>
      <c r="M141" s="2">
        <v>1</v>
      </c>
      <c r="N141" s="2" t="s">
        <v>799</v>
      </c>
      <c r="O141" s="2" t="s">
        <v>800</v>
      </c>
      <c r="P141" s="2" t="s">
        <v>80</v>
      </c>
      <c r="Q141" s="2" t="s">
        <v>69</v>
      </c>
      <c r="R141" s="2" t="s">
        <v>70</v>
      </c>
      <c r="S141" s="2" t="s">
        <v>801</v>
      </c>
      <c r="T141" s="2" t="s">
        <v>802</v>
      </c>
      <c r="U141" s="2" t="s">
        <v>803</v>
      </c>
      <c r="V141" s="2" t="s">
        <v>802</v>
      </c>
      <c r="W141" s="2" t="s">
        <v>74</v>
      </c>
      <c r="X141" s="38">
        <v>31</v>
      </c>
      <c r="Y141" s="38">
        <v>12</v>
      </c>
      <c r="Z141" s="38">
        <v>19</v>
      </c>
      <c r="AA141" s="38">
        <v>22</v>
      </c>
      <c r="AB141" s="38">
        <v>6</v>
      </c>
      <c r="AC141" s="38">
        <v>16</v>
      </c>
      <c r="AD141" s="38">
        <v>9</v>
      </c>
      <c r="AE141" s="38">
        <v>6</v>
      </c>
      <c r="AF141" s="38">
        <v>3</v>
      </c>
      <c r="AG141" s="38">
        <v>0</v>
      </c>
      <c r="AH141" s="38">
        <v>0</v>
      </c>
      <c r="AI141" s="38">
        <v>0</v>
      </c>
      <c r="AJ141" s="38">
        <v>0</v>
      </c>
      <c r="AK141" s="37">
        <v>0</v>
      </c>
      <c r="AL141" s="40">
        <f t="shared" si="4"/>
        <v>0</v>
      </c>
      <c r="AM141" s="37">
        <f t="shared" si="5"/>
        <v>0</v>
      </c>
      <c r="AN141" s="40">
        <f t="shared" si="6"/>
        <v>0</v>
      </c>
      <c r="AO141" s="37">
        <f t="shared" si="7"/>
        <v>0</v>
      </c>
      <c r="AP141" s="38">
        <v>53</v>
      </c>
      <c r="AQ141" s="38">
        <v>19</v>
      </c>
      <c r="AR141" s="38">
        <v>34</v>
      </c>
      <c r="AS141" s="38">
        <v>37</v>
      </c>
      <c r="AT141" s="38">
        <v>12</v>
      </c>
      <c r="AU141" s="38">
        <v>25</v>
      </c>
      <c r="AV141" s="38">
        <v>16</v>
      </c>
      <c r="AW141" s="38">
        <v>6</v>
      </c>
      <c r="AX141" s="38">
        <v>10</v>
      </c>
      <c r="AY141" s="38">
        <v>36</v>
      </c>
      <c r="AZ141" s="38">
        <v>15</v>
      </c>
      <c r="BA141" s="38">
        <v>21</v>
      </c>
      <c r="BB141" s="38">
        <v>4</v>
      </c>
      <c r="BC141" s="37">
        <v>11.111111111111111</v>
      </c>
      <c r="BD141" s="40">
        <v>2</v>
      </c>
      <c r="BE141" s="37">
        <v>13.333333333333334</v>
      </c>
      <c r="BF141" s="40">
        <v>2</v>
      </c>
      <c r="BG141" s="37">
        <v>9.5238095238095237</v>
      </c>
      <c r="BH141" s="38">
        <v>16</v>
      </c>
      <c r="BI141" s="38">
        <v>15</v>
      </c>
      <c r="BJ141" s="38">
        <v>6</v>
      </c>
      <c r="BK141" s="38">
        <v>9</v>
      </c>
      <c r="BL141" s="37">
        <v>106.66666666666667</v>
      </c>
      <c r="BM141" s="37">
        <v>100</v>
      </c>
      <c r="BN141" s="37">
        <v>111.11111111111111</v>
      </c>
      <c r="BO141" s="38">
        <v>23</v>
      </c>
      <c r="BP141" s="38">
        <v>8</v>
      </c>
      <c r="BQ141" s="38">
        <v>15</v>
      </c>
      <c r="BR141" s="37">
        <v>69.565217391304344</v>
      </c>
      <c r="BS141" s="37">
        <v>75</v>
      </c>
      <c r="BT141" s="37">
        <v>66.666666666666657</v>
      </c>
      <c r="BU141" s="2"/>
      <c r="BV141" s="2"/>
    </row>
    <row r="142" spans="1:74" ht="15.75" x14ac:dyDescent="0.3">
      <c r="A142" s="2" t="s">
        <v>54</v>
      </c>
      <c r="B142" s="2" t="s">
        <v>55</v>
      </c>
      <c r="C142" s="2" t="s">
        <v>56</v>
      </c>
      <c r="D142" s="2" t="s">
        <v>674</v>
      </c>
      <c r="E142" s="2" t="s">
        <v>674</v>
      </c>
      <c r="F142" s="2" t="s">
        <v>675</v>
      </c>
      <c r="G142" s="2" t="s">
        <v>60</v>
      </c>
      <c r="H142" s="2" t="s">
        <v>61</v>
      </c>
      <c r="I142" s="2" t="s">
        <v>122</v>
      </c>
      <c r="J142" s="2" t="s">
        <v>740</v>
      </c>
      <c r="K142" s="2" t="s">
        <v>76</v>
      </c>
      <c r="L142" s="2" t="s">
        <v>804</v>
      </c>
      <c r="M142" s="2">
        <v>9</v>
      </c>
      <c r="N142" s="2" t="s">
        <v>805</v>
      </c>
      <c r="O142" s="2" t="s">
        <v>806</v>
      </c>
      <c r="P142" s="2" t="s">
        <v>80</v>
      </c>
      <c r="Q142" s="2" t="s">
        <v>69</v>
      </c>
      <c r="R142" s="2" t="s">
        <v>70</v>
      </c>
      <c r="S142" s="2" t="s">
        <v>807</v>
      </c>
      <c r="T142" s="2" t="s">
        <v>808</v>
      </c>
      <c r="U142" s="2" t="s">
        <v>809</v>
      </c>
      <c r="V142" s="2" t="s">
        <v>808</v>
      </c>
      <c r="W142" s="2" t="s">
        <v>74</v>
      </c>
      <c r="X142" s="38">
        <v>235</v>
      </c>
      <c r="Y142" s="38">
        <v>94</v>
      </c>
      <c r="Z142" s="38">
        <v>141</v>
      </c>
      <c r="AA142" s="38">
        <v>171</v>
      </c>
      <c r="AB142" s="38">
        <v>66</v>
      </c>
      <c r="AC142" s="38">
        <v>105</v>
      </c>
      <c r="AD142" s="38">
        <v>15</v>
      </c>
      <c r="AE142" s="38">
        <v>11</v>
      </c>
      <c r="AF142" s="38">
        <v>4</v>
      </c>
      <c r="AG142" s="38">
        <v>0</v>
      </c>
      <c r="AH142" s="38">
        <v>0</v>
      </c>
      <c r="AI142" s="38">
        <v>0</v>
      </c>
      <c r="AJ142" s="38">
        <v>49</v>
      </c>
      <c r="AK142" s="37">
        <v>20.851063829787233</v>
      </c>
      <c r="AL142" s="40">
        <f t="shared" ref="AL142:AL205" si="8">Y142-AB142-AE142</f>
        <v>17</v>
      </c>
      <c r="AM142" s="37">
        <f t="shared" ref="AM142:AM205" si="9">(AL142/Y142)*100</f>
        <v>18.085106382978726</v>
      </c>
      <c r="AN142" s="40">
        <f t="shared" ref="AN142:AN205" si="10">Z142-AC142-AF142</f>
        <v>32</v>
      </c>
      <c r="AO142" s="37">
        <f t="shared" ref="AO142:AO205" si="11">(AN142/Z142)*100</f>
        <v>22.695035460992909</v>
      </c>
      <c r="AP142" s="38">
        <v>230</v>
      </c>
      <c r="AQ142" s="38">
        <v>87</v>
      </c>
      <c r="AR142" s="38">
        <v>143</v>
      </c>
      <c r="AS142" s="38">
        <v>100</v>
      </c>
      <c r="AT142" s="38">
        <v>37</v>
      </c>
      <c r="AU142" s="38">
        <v>63</v>
      </c>
      <c r="AV142" s="38">
        <v>81</v>
      </c>
      <c r="AW142" s="38">
        <v>23</v>
      </c>
      <c r="AX142" s="38">
        <v>58</v>
      </c>
      <c r="AY142" s="38">
        <v>254</v>
      </c>
      <c r="AZ142" s="38">
        <v>91</v>
      </c>
      <c r="BA142" s="38">
        <v>163</v>
      </c>
      <c r="BB142" s="38">
        <v>43</v>
      </c>
      <c r="BC142" s="37">
        <v>16.929133858267718</v>
      </c>
      <c r="BD142" s="40">
        <v>18</v>
      </c>
      <c r="BE142" s="37">
        <v>19.780219780219781</v>
      </c>
      <c r="BF142" s="40">
        <v>25</v>
      </c>
      <c r="BG142" s="37">
        <v>15.337423312883436</v>
      </c>
      <c r="BH142" s="38">
        <v>81</v>
      </c>
      <c r="BI142" s="38">
        <v>86</v>
      </c>
      <c r="BJ142" s="38">
        <v>28</v>
      </c>
      <c r="BK142" s="38">
        <v>58</v>
      </c>
      <c r="BL142" s="37">
        <v>94.186046511627907</v>
      </c>
      <c r="BM142" s="37">
        <v>82.142857142857139</v>
      </c>
      <c r="BN142" s="37">
        <v>100</v>
      </c>
      <c r="BO142" s="38">
        <v>108</v>
      </c>
      <c r="BP142" s="38">
        <v>32</v>
      </c>
      <c r="BQ142" s="38">
        <v>76</v>
      </c>
      <c r="BR142" s="37">
        <v>75</v>
      </c>
      <c r="BS142" s="37">
        <v>71.875</v>
      </c>
      <c r="BT142" s="37">
        <v>76.31578947368422</v>
      </c>
      <c r="BU142" s="2"/>
      <c r="BV142" s="2"/>
    </row>
    <row r="143" spans="1:74" ht="15.75" x14ac:dyDescent="0.3">
      <c r="A143" s="2" t="s">
        <v>54</v>
      </c>
      <c r="B143" s="2" t="s">
        <v>55</v>
      </c>
      <c r="C143" s="2" t="s">
        <v>56</v>
      </c>
      <c r="D143" s="2" t="s">
        <v>674</v>
      </c>
      <c r="E143" s="2" t="s">
        <v>674</v>
      </c>
      <c r="F143" s="2" t="s">
        <v>675</v>
      </c>
      <c r="G143" s="2" t="s">
        <v>60</v>
      </c>
      <c r="H143" s="2" t="s">
        <v>61</v>
      </c>
      <c r="I143" s="2" t="s">
        <v>62</v>
      </c>
      <c r="J143" s="2" t="s">
        <v>63</v>
      </c>
      <c r="K143" s="2" t="s">
        <v>159</v>
      </c>
      <c r="L143" s="2" t="s">
        <v>810</v>
      </c>
      <c r="M143" s="2">
        <v>2</v>
      </c>
      <c r="N143" s="2" t="s">
        <v>811</v>
      </c>
      <c r="O143" s="2" t="s">
        <v>812</v>
      </c>
      <c r="P143" s="2" t="s">
        <v>101</v>
      </c>
      <c r="Q143" s="2" t="s">
        <v>69</v>
      </c>
      <c r="R143" s="2" t="s">
        <v>70</v>
      </c>
      <c r="S143" s="2" t="s">
        <v>813</v>
      </c>
      <c r="T143" s="2" t="s">
        <v>814</v>
      </c>
      <c r="U143" s="2" t="s">
        <v>815</v>
      </c>
      <c r="V143" s="2" t="s">
        <v>816</v>
      </c>
      <c r="W143" s="2" t="s">
        <v>74</v>
      </c>
      <c r="X143" s="38">
        <v>460</v>
      </c>
      <c r="Y143" s="38">
        <v>203</v>
      </c>
      <c r="Z143" s="38">
        <v>257</v>
      </c>
      <c r="AA143" s="38">
        <v>330</v>
      </c>
      <c r="AB143" s="38">
        <v>130</v>
      </c>
      <c r="AC143" s="38">
        <v>200</v>
      </c>
      <c r="AD143" s="38">
        <v>80</v>
      </c>
      <c r="AE143" s="38">
        <v>45</v>
      </c>
      <c r="AF143" s="38">
        <v>35</v>
      </c>
      <c r="AG143" s="38">
        <v>0</v>
      </c>
      <c r="AH143" s="38">
        <v>0</v>
      </c>
      <c r="AI143" s="38">
        <v>0</v>
      </c>
      <c r="AJ143" s="38">
        <v>50</v>
      </c>
      <c r="AK143" s="37">
        <v>10.869565217391305</v>
      </c>
      <c r="AL143" s="40">
        <f t="shared" si="8"/>
        <v>28</v>
      </c>
      <c r="AM143" s="37">
        <f t="shared" si="9"/>
        <v>13.793103448275861</v>
      </c>
      <c r="AN143" s="40">
        <f t="shared" si="10"/>
        <v>22</v>
      </c>
      <c r="AO143" s="37">
        <f t="shared" si="11"/>
        <v>8.5603112840466924</v>
      </c>
      <c r="AP143" s="38">
        <v>450</v>
      </c>
      <c r="AQ143" s="38">
        <v>206</v>
      </c>
      <c r="AR143" s="38">
        <v>244</v>
      </c>
      <c r="AS143" s="38">
        <v>149</v>
      </c>
      <c r="AT143" s="38">
        <v>70</v>
      </c>
      <c r="AU143" s="38">
        <v>79</v>
      </c>
      <c r="AV143" s="38">
        <v>156</v>
      </c>
      <c r="AW143" s="38">
        <v>65</v>
      </c>
      <c r="AX143" s="38">
        <v>91</v>
      </c>
      <c r="AY143" s="38">
        <v>506</v>
      </c>
      <c r="AZ143" s="38">
        <v>240</v>
      </c>
      <c r="BA143" s="38">
        <v>266</v>
      </c>
      <c r="BB143" s="38">
        <v>49</v>
      </c>
      <c r="BC143" s="37">
        <v>9.6837944664031621</v>
      </c>
      <c r="BD143" s="40">
        <v>39</v>
      </c>
      <c r="BE143" s="37">
        <v>16.25</v>
      </c>
      <c r="BF143" s="40">
        <v>10</v>
      </c>
      <c r="BG143" s="37">
        <v>3.7593984962406015</v>
      </c>
      <c r="BH143" s="38">
        <v>156</v>
      </c>
      <c r="BI143" s="38">
        <v>162</v>
      </c>
      <c r="BJ143" s="38">
        <v>70</v>
      </c>
      <c r="BK143" s="38">
        <v>92</v>
      </c>
      <c r="BL143" s="37">
        <v>96.296296296296291</v>
      </c>
      <c r="BM143" s="37">
        <v>92.857142857142861</v>
      </c>
      <c r="BN143" s="37">
        <v>98.91304347826086</v>
      </c>
      <c r="BO143" s="38">
        <v>171</v>
      </c>
      <c r="BP143" s="38">
        <v>73</v>
      </c>
      <c r="BQ143" s="38">
        <v>98</v>
      </c>
      <c r="BR143" s="37">
        <v>91.228070175438589</v>
      </c>
      <c r="BS143" s="37">
        <v>89.041095890410958</v>
      </c>
      <c r="BT143" s="37">
        <v>92.857142857142861</v>
      </c>
      <c r="BU143" s="2"/>
      <c r="BV143" s="2"/>
    </row>
    <row r="144" spans="1:74" ht="15.75" x14ac:dyDescent="0.3">
      <c r="A144" s="2" t="s">
        <v>54</v>
      </c>
      <c r="B144" s="2" t="s">
        <v>55</v>
      </c>
      <c r="C144" s="2" t="s">
        <v>56</v>
      </c>
      <c r="D144" s="2" t="s">
        <v>674</v>
      </c>
      <c r="E144" s="2" t="s">
        <v>674</v>
      </c>
      <c r="F144" s="2" t="s">
        <v>675</v>
      </c>
      <c r="G144" s="2" t="s">
        <v>60</v>
      </c>
      <c r="H144" s="2" t="s">
        <v>61</v>
      </c>
      <c r="I144" s="2" t="s">
        <v>62</v>
      </c>
      <c r="J144" s="2" t="s">
        <v>63</v>
      </c>
      <c r="K144" s="2" t="s">
        <v>159</v>
      </c>
      <c r="L144" s="2" t="s">
        <v>817</v>
      </c>
      <c r="M144" s="2">
        <v>16</v>
      </c>
      <c r="N144" s="2" t="s">
        <v>818</v>
      </c>
      <c r="O144" s="2" t="s">
        <v>819</v>
      </c>
      <c r="P144" s="2" t="s">
        <v>80</v>
      </c>
      <c r="Q144" s="2" t="s">
        <v>69</v>
      </c>
      <c r="R144" s="2" t="s">
        <v>70</v>
      </c>
      <c r="S144" s="2" t="s">
        <v>820</v>
      </c>
      <c r="T144" s="2" t="s">
        <v>821</v>
      </c>
      <c r="U144" s="2" t="s">
        <v>822</v>
      </c>
      <c r="V144" s="2" t="s">
        <v>821</v>
      </c>
      <c r="W144" s="2" t="s">
        <v>74</v>
      </c>
      <c r="X144" s="38">
        <v>13</v>
      </c>
      <c r="Y144" s="38">
        <v>7</v>
      </c>
      <c r="Z144" s="38">
        <v>6</v>
      </c>
      <c r="AA144" s="38">
        <v>13</v>
      </c>
      <c r="AB144" s="38">
        <v>7</v>
      </c>
      <c r="AC144" s="38">
        <v>6</v>
      </c>
      <c r="AD144" s="38">
        <v>0</v>
      </c>
      <c r="AE144" s="38">
        <v>0</v>
      </c>
      <c r="AF144" s="38">
        <v>0</v>
      </c>
      <c r="AG144" s="38">
        <v>0</v>
      </c>
      <c r="AH144" s="38">
        <v>0</v>
      </c>
      <c r="AI144" s="38">
        <v>0</v>
      </c>
      <c r="AJ144" s="38">
        <v>0</v>
      </c>
      <c r="AK144" s="37">
        <v>0</v>
      </c>
      <c r="AL144" s="40">
        <f t="shared" si="8"/>
        <v>0</v>
      </c>
      <c r="AM144" s="37">
        <f t="shared" si="9"/>
        <v>0</v>
      </c>
      <c r="AN144" s="40">
        <f t="shared" si="10"/>
        <v>0</v>
      </c>
      <c r="AO144" s="37">
        <f t="shared" si="11"/>
        <v>0</v>
      </c>
      <c r="AP144" s="38">
        <v>4</v>
      </c>
      <c r="AQ144" s="38">
        <v>2</v>
      </c>
      <c r="AR144" s="38">
        <v>2</v>
      </c>
      <c r="AS144" s="38">
        <v>4</v>
      </c>
      <c r="AT144" s="38">
        <v>2</v>
      </c>
      <c r="AU144" s="38">
        <v>2</v>
      </c>
      <c r="AV144" s="38">
        <v>6</v>
      </c>
      <c r="AW144" s="38">
        <v>4</v>
      </c>
      <c r="AX144" s="38">
        <v>2</v>
      </c>
      <c r="AY144" s="38">
        <v>15</v>
      </c>
      <c r="AZ144" s="38">
        <v>9</v>
      </c>
      <c r="BA144" s="38">
        <v>6</v>
      </c>
      <c r="BB144" s="38">
        <v>9</v>
      </c>
      <c r="BC144" s="37">
        <v>60</v>
      </c>
      <c r="BD144" s="40">
        <v>5</v>
      </c>
      <c r="BE144" s="37">
        <v>55.555555555555557</v>
      </c>
      <c r="BF144" s="40">
        <v>4</v>
      </c>
      <c r="BG144" s="37">
        <v>66.666666666666657</v>
      </c>
      <c r="BH144" s="38">
        <v>6</v>
      </c>
      <c r="BI144" s="38">
        <v>6</v>
      </c>
      <c r="BJ144" s="38">
        <v>4</v>
      </c>
      <c r="BK144" s="38">
        <v>2</v>
      </c>
      <c r="BL144" s="37">
        <v>100</v>
      </c>
      <c r="BM144" s="37">
        <v>100</v>
      </c>
      <c r="BN144" s="37">
        <v>100</v>
      </c>
      <c r="BO144" s="38">
        <v>7</v>
      </c>
      <c r="BP144" s="38">
        <v>5</v>
      </c>
      <c r="BQ144" s="38">
        <v>2</v>
      </c>
      <c r="BR144" s="37">
        <v>85.714285714285708</v>
      </c>
      <c r="BS144" s="37">
        <v>80</v>
      </c>
      <c r="BT144" s="37">
        <v>100</v>
      </c>
      <c r="BU144" s="2"/>
      <c r="BV144" s="2"/>
    </row>
    <row r="145" spans="1:74" ht="15.75" x14ac:dyDescent="0.3">
      <c r="A145" s="2" t="s">
        <v>54</v>
      </c>
      <c r="B145" s="2" t="s">
        <v>55</v>
      </c>
      <c r="C145" s="2" t="s">
        <v>56</v>
      </c>
      <c r="D145" s="2" t="s">
        <v>674</v>
      </c>
      <c r="E145" s="2" t="s">
        <v>674</v>
      </c>
      <c r="F145" s="2" t="s">
        <v>675</v>
      </c>
      <c r="G145" s="2" t="s">
        <v>60</v>
      </c>
      <c r="H145" s="2" t="s">
        <v>61</v>
      </c>
      <c r="I145" s="2" t="s">
        <v>62</v>
      </c>
      <c r="J145" s="2" t="s">
        <v>63</v>
      </c>
      <c r="K145" s="2" t="s">
        <v>731</v>
      </c>
      <c r="L145" s="2" t="s">
        <v>823</v>
      </c>
      <c r="M145" s="2">
        <v>1000</v>
      </c>
      <c r="N145" s="2" t="s">
        <v>824</v>
      </c>
      <c r="O145" s="2" t="s">
        <v>825</v>
      </c>
      <c r="P145" s="2" t="s">
        <v>826</v>
      </c>
      <c r="Q145" s="2" t="s">
        <v>69</v>
      </c>
      <c r="R145" s="2" t="s">
        <v>70</v>
      </c>
      <c r="S145" s="2" t="s">
        <v>827</v>
      </c>
      <c r="T145" s="2" t="s">
        <v>828</v>
      </c>
      <c r="U145" s="2" t="s">
        <v>829</v>
      </c>
      <c r="V145" s="2" t="s">
        <v>828</v>
      </c>
      <c r="W145" s="2" t="s">
        <v>74</v>
      </c>
      <c r="X145" s="38">
        <v>162</v>
      </c>
      <c r="Y145" s="38">
        <v>162</v>
      </c>
      <c r="Z145" s="38">
        <v>0</v>
      </c>
      <c r="AA145" s="38">
        <v>122</v>
      </c>
      <c r="AB145" s="38">
        <v>122</v>
      </c>
      <c r="AC145" s="38">
        <v>0</v>
      </c>
      <c r="AD145" s="38">
        <v>29</v>
      </c>
      <c r="AE145" s="38">
        <v>29</v>
      </c>
      <c r="AF145" s="38">
        <v>0</v>
      </c>
      <c r="AG145" s="38">
        <v>0</v>
      </c>
      <c r="AH145" s="38">
        <v>0</v>
      </c>
      <c r="AI145" s="38">
        <v>0</v>
      </c>
      <c r="AJ145" s="38">
        <v>11</v>
      </c>
      <c r="AK145" s="37">
        <v>6.7901234567901234</v>
      </c>
      <c r="AL145" s="40">
        <f t="shared" si="8"/>
        <v>11</v>
      </c>
      <c r="AM145" s="37">
        <f t="shared" si="9"/>
        <v>6.7901234567901234</v>
      </c>
      <c r="AN145" s="40">
        <f t="shared" si="10"/>
        <v>0</v>
      </c>
      <c r="AO145" s="37" t="e">
        <f t="shared" si="11"/>
        <v>#DIV/0!</v>
      </c>
      <c r="AP145" s="38">
        <v>173</v>
      </c>
      <c r="AQ145" s="38">
        <v>173</v>
      </c>
      <c r="AR145" s="38">
        <v>0</v>
      </c>
      <c r="AS145" s="38">
        <v>58</v>
      </c>
      <c r="AT145" s="38">
        <v>58</v>
      </c>
      <c r="AU145" s="38">
        <v>0</v>
      </c>
      <c r="AV145" s="38">
        <v>50</v>
      </c>
      <c r="AW145" s="38">
        <v>50</v>
      </c>
      <c r="AX145" s="38">
        <v>0</v>
      </c>
      <c r="AY145" s="38">
        <v>161</v>
      </c>
      <c r="AZ145" s="38">
        <v>161</v>
      </c>
      <c r="BA145" s="38">
        <v>0</v>
      </c>
      <c r="BB145" s="38">
        <v>-4</v>
      </c>
      <c r="BC145" s="37">
        <v>-2.4844720496894408</v>
      </c>
      <c r="BD145" s="40">
        <v>-4</v>
      </c>
      <c r="BE145" s="37">
        <v>-2.4844720496894408</v>
      </c>
      <c r="BF145" s="40">
        <v>0</v>
      </c>
      <c r="BG145" s="37" t="e">
        <v>#DIV/0!</v>
      </c>
      <c r="BH145" s="38">
        <v>50</v>
      </c>
      <c r="BI145" s="38">
        <v>51</v>
      </c>
      <c r="BJ145" s="38">
        <v>51</v>
      </c>
      <c r="BK145" s="38">
        <v>0</v>
      </c>
      <c r="BL145" s="37">
        <v>98.039215686274503</v>
      </c>
      <c r="BM145" s="37">
        <v>98.039215686274503</v>
      </c>
      <c r="BN145" s="37" t="e">
        <v>#DIV/0!</v>
      </c>
      <c r="BO145" s="38">
        <v>59</v>
      </c>
      <c r="BP145" s="38">
        <v>59</v>
      </c>
      <c r="BQ145" s="38">
        <v>0</v>
      </c>
      <c r="BR145" s="37">
        <v>84.745762711864401</v>
      </c>
      <c r="BS145" s="37">
        <v>84.745762711864401</v>
      </c>
      <c r="BT145" s="37" t="s">
        <v>1860</v>
      </c>
      <c r="BU145" s="2"/>
      <c r="BV145" s="2"/>
    </row>
    <row r="146" spans="1:74" ht="15.75" x14ac:dyDescent="0.3">
      <c r="A146" s="2" t="s">
        <v>54</v>
      </c>
      <c r="B146" s="2" t="s">
        <v>55</v>
      </c>
      <c r="C146" s="2" t="s">
        <v>56</v>
      </c>
      <c r="D146" s="2" t="s">
        <v>674</v>
      </c>
      <c r="E146" s="2" t="s">
        <v>674</v>
      </c>
      <c r="F146" s="2" t="s">
        <v>675</v>
      </c>
      <c r="G146" s="2" t="s">
        <v>186</v>
      </c>
      <c r="H146" s="2" t="s">
        <v>61</v>
      </c>
      <c r="I146" s="2" t="s">
        <v>122</v>
      </c>
      <c r="J146" s="2" t="s">
        <v>830</v>
      </c>
      <c r="K146" s="2" t="s">
        <v>831</v>
      </c>
      <c r="L146" s="2" t="s">
        <v>832</v>
      </c>
      <c r="M146" s="2">
        <v>119</v>
      </c>
      <c r="N146" s="2" t="s">
        <v>833</v>
      </c>
      <c r="O146" s="2" t="s">
        <v>834</v>
      </c>
      <c r="P146" s="2" t="s">
        <v>80</v>
      </c>
      <c r="Q146" s="2" t="s">
        <v>69</v>
      </c>
      <c r="R146" s="2" t="s">
        <v>70</v>
      </c>
      <c r="S146" s="2" t="s">
        <v>835</v>
      </c>
      <c r="T146" s="2" t="s">
        <v>836</v>
      </c>
      <c r="U146" s="2" t="s">
        <v>837</v>
      </c>
      <c r="V146" s="2" t="s">
        <v>836</v>
      </c>
      <c r="W146" s="2" t="s">
        <v>74</v>
      </c>
      <c r="X146" s="38">
        <v>76</v>
      </c>
      <c r="Y146" s="38">
        <v>0</v>
      </c>
      <c r="Z146" s="38">
        <v>76</v>
      </c>
      <c r="AA146" s="38">
        <v>72</v>
      </c>
      <c r="AB146" s="38">
        <v>0</v>
      </c>
      <c r="AC146" s="38">
        <v>72</v>
      </c>
      <c r="AD146" s="38">
        <v>3</v>
      </c>
      <c r="AE146" s="38">
        <v>0</v>
      </c>
      <c r="AF146" s="38">
        <v>3</v>
      </c>
      <c r="AG146" s="38">
        <v>0</v>
      </c>
      <c r="AH146" s="38">
        <v>0</v>
      </c>
      <c r="AI146" s="38">
        <v>0</v>
      </c>
      <c r="AJ146" s="38">
        <v>1</v>
      </c>
      <c r="AK146" s="37">
        <v>1.3157894736842104</v>
      </c>
      <c r="AL146" s="40">
        <f t="shared" si="8"/>
        <v>0</v>
      </c>
      <c r="AM146" s="37" t="e">
        <f t="shared" si="9"/>
        <v>#DIV/0!</v>
      </c>
      <c r="AN146" s="40">
        <f t="shared" si="10"/>
        <v>1</v>
      </c>
      <c r="AO146" s="37">
        <f t="shared" si="11"/>
        <v>1.3157894736842104</v>
      </c>
      <c r="AP146" s="38">
        <v>66</v>
      </c>
      <c r="AQ146" s="38">
        <v>0</v>
      </c>
      <c r="AR146" s="38">
        <v>66</v>
      </c>
      <c r="AS146" s="38">
        <v>22</v>
      </c>
      <c r="AT146" s="38">
        <v>0</v>
      </c>
      <c r="AU146" s="38">
        <v>22</v>
      </c>
      <c r="AV146" s="38">
        <v>32</v>
      </c>
      <c r="AW146" s="38">
        <v>0</v>
      </c>
      <c r="AX146" s="38">
        <v>32</v>
      </c>
      <c r="AY146" s="38">
        <v>75</v>
      </c>
      <c r="AZ146" s="38">
        <v>0</v>
      </c>
      <c r="BA146" s="38">
        <v>75</v>
      </c>
      <c r="BB146" s="38">
        <v>-1</v>
      </c>
      <c r="BC146" s="37">
        <v>-1.3333333333333335</v>
      </c>
      <c r="BD146" s="40">
        <v>0</v>
      </c>
      <c r="BE146" s="37" t="s">
        <v>1860</v>
      </c>
      <c r="BF146" s="40">
        <v>-1</v>
      </c>
      <c r="BG146" s="37">
        <v>-1.3333333333333335</v>
      </c>
      <c r="BH146" s="38">
        <v>32</v>
      </c>
      <c r="BI146" s="38">
        <v>32</v>
      </c>
      <c r="BJ146" s="38">
        <v>0</v>
      </c>
      <c r="BK146" s="38">
        <v>32</v>
      </c>
      <c r="BL146" s="37">
        <v>100</v>
      </c>
      <c r="BM146" s="37" t="s">
        <v>1860</v>
      </c>
      <c r="BN146" s="37">
        <v>100</v>
      </c>
      <c r="BO146" s="38">
        <v>40</v>
      </c>
      <c r="BP146" s="38">
        <v>0</v>
      </c>
      <c r="BQ146" s="38">
        <v>40</v>
      </c>
      <c r="BR146" s="37">
        <v>80</v>
      </c>
      <c r="BS146" s="37" t="s">
        <v>1860</v>
      </c>
      <c r="BT146" s="37">
        <v>80</v>
      </c>
      <c r="BU146" s="2"/>
      <c r="BV146" s="2"/>
    </row>
    <row r="147" spans="1:74" ht="15.75" x14ac:dyDescent="0.3">
      <c r="A147" s="2" t="s">
        <v>54</v>
      </c>
      <c r="B147" s="2" t="s">
        <v>55</v>
      </c>
      <c r="C147" s="2" t="s">
        <v>56</v>
      </c>
      <c r="D147" s="2" t="s">
        <v>674</v>
      </c>
      <c r="E147" s="2" t="s">
        <v>674</v>
      </c>
      <c r="F147" s="2" t="s">
        <v>675</v>
      </c>
      <c r="G147" s="2" t="s">
        <v>60</v>
      </c>
      <c r="H147" s="2" t="s">
        <v>61</v>
      </c>
      <c r="I147" s="2" t="s">
        <v>62</v>
      </c>
      <c r="J147" s="2" t="s">
        <v>63</v>
      </c>
      <c r="K147" s="2" t="s">
        <v>838</v>
      </c>
      <c r="L147" s="2" t="s">
        <v>839</v>
      </c>
      <c r="M147" s="2">
        <v>136</v>
      </c>
      <c r="N147" s="2" t="s">
        <v>840</v>
      </c>
      <c r="O147" s="2" t="s">
        <v>841</v>
      </c>
      <c r="P147" s="2" t="s">
        <v>80</v>
      </c>
      <c r="Q147" s="2" t="s">
        <v>69</v>
      </c>
      <c r="R147" s="2" t="s">
        <v>70</v>
      </c>
      <c r="S147" s="2" t="s">
        <v>842</v>
      </c>
      <c r="T147" s="2" t="s">
        <v>843</v>
      </c>
      <c r="U147" s="2" t="s">
        <v>844</v>
      </c>
      <c r="V147" s="2" t="s">
        <v>843</v>
      </c>
      <c r="W147" s="2" t="s">
        <v>74</v>
      </c>
      <c r="X147" s="38">
        <v>50</v>
      </c>
      <c r="Y147" s="38">
        <v>23</v>
      </c>
      <c r="Z147" s="38">
        <v>27</v>
      </c>
      <c r="AA147" s="38">
        <v>46</v>
      </c>
      <c r="AB147" s="38">
        <v>21</v>
      </c>
      <c r="AC147" s="38">
        <v>25</v>
      </c>
      <c r="AD147" s="38">
        <v>3</v>
      </c>
      <c r="AE147" s="38">
        <v>1</v>
      </c>
      <c r="AF147" s="38">
        <v>2</v>
      </c>
      <c r="AG147" s="38">
        <v>0</v>
      </c>
      <c r="AH147" s="38">
        <v>0</v>
      </c>
      <c r="AI147" s="38">
        <v>0</v>
      </c>
      <c r="AJ147" s="38">
        <v>1</v>
      </c>
      <c r="AK147" s="37">
        <v>2</v>
      </c>
      <c r="AL147" s="40">
        <f t="shared" si="8"/>
        <v>1</v>
      </c>
      <c r="AM147" s="37">
        <f t="shared" si="9"/>
        <v>4.3478260869565215</v>
      </c>
      <c r="AN147" s="40">
        <f t="shared" si="10"/>
        <v>0</v>
      </c>
      <c r="AO147" s="37">
        <f t="shared" si="11"/>
        <v>0</v>
      </c>
      <c r="AP147" s="38">
        <v>47</v>
      </c>
      <c r="AQ147" s="38">
        <v>21</v>
      </c>
      <c r="AR147" s="38">
        <v>26</v>
      </c>
      <c r="AS147" s="38">
        <v>13</v>
      </c>
      <c r="AT147" s="38">
        <v>5</v>
      </c>
      <c r="AU147" s="38">
        <v>8</v>
      </c>
      <c r="AV147" s="38">
        <v>21</v>
      </c>
      <c r="AW147" s="38">
        <v>9</v>
      </c>
      <c r="AX147" s="38">
        <v>12</v>
      </c>
      <c r="AY147" s="38">
        <v>62</v>
      </c>
      <c r="AZ147" s="38">
        <v>30</v>
      </c>
      <c r="BA147" s="38">
        <v>32</v>
      </c>
      <c r="BB147" s="38">
        <v>7</v>
      </c>
      <c r="BC147" s="37">
        <v>11.29032258064516</v>
      </c>
      <c r="BD147" s="40">
        <v>5</v>
      </c>
      <c r="BE147" s="37">
        <v>16.666666666666664</v>
      </c>
      <c r="BF147" s="40">
        <v>2</v>
      </c>
      <c r="BG147" s="37">
        <v>6.25</v>
      </c>
      <c r="BH147" s="38">
        <v>21</v>
      </c>
      <c r="BI147" s="38">
        <v>24</v>
      </c>
      <c r="BJ147" s="38">
        <v>10</v>
      </c>
      <c r="BK147" s="38">
        <v>14</v>
      </c>
      <c r="BL147" s="37">
        <v>87.5</v>
      </c>
      <c r="BM147" s="37">
        <v>90</v>
      </c>
      <c r="BN147" s="37">
        <v>85.714285714285708</v>
      </c>
      <c r="BO147" s="38">
        <v>31</v>
      </c>
      <c r="BP147" s="38">
        <v>14</v>
      </c>
      <c r="BQ147" s="38">
        <v>17</v>
      </c>
      <c r="BR147" s="37">
        <v>67.741935483870961</v>
      </c>
      <c r="BS147" s="37">
        <v>64.285714285714292</v>
      </c>
      <c r="BT147" s="37">
        <v>70.588235294117652</v>
      </c>
      <c r="BU147" s="2"/>
      <c r="BV147" s="2"/>
    </row>
    <row r="148" spans="1:74" ht="15.75" x14ac:dyDescent="0.3">
      <c r="A148" s="2" t="s">
        <v>54</v>
      </c>
      <c r="B148" s="2" t="s">
        <v>55</v>
      </c>
      <c r="C148" s="2" t="s">
        <v>56</v>
      </c>
      <c r="D148" s="2" t="s">
        <v>674</v>
      </c>
      <c r="E148" s="2" t="s">
        <v>674</v>
      </c>
      <c r="F148" s="2" t="s">
        <v>675</v>
      </c>
      <c r="G148" s="2" t="s">
        <v>60</v>
      </c>
      <c r="H148" s="2" t="s">
        <v>61</v>
      </c>
      <c r="I148" s="2" t="s">
        <v>62</v>
      </c>
      <c r="J148" s="2" t="s">
        <v>63</v>
      </c>
      <c r="K148" s="2" t="s">
        <v>159</v>
      </c>
      <c r="L148" s="2" t="s">
        <v>706</v>
      </c>
      <c r="M148" s="2">
        <v>106</v>
      </c>
      <c r="N148" s="2" t="s">
        <v>845</v>
      </c>
      <c r="O148" s="2" t="s">
        <v>846</v>
      </c>
      <c r="P148" s="2" t="s">
        <v>80</v>
      </c>
      <c r="Q148" s="2" t="s">
        <v>69</v>
      </c>
      <c r="R148" s="2" t="s">
        <v>70</v>
      </c>
      <c r="S148" s="2" t="s">
        <v>847</v>
      </c>
      <c r="T148" s="2" t="s">
        <v>848</v>
      </c>
      <c r="U148" s="2" t="s">
        <v>849</v>
      </c>
      <c r="V148" s="2" t="s">
        <v>848</v>
      </c>
      <c r="W148" s="2" t="s">
        <v>74</v>
      </c>
      <c r="X148" s="38">
        <v>78</v>
      </c>
      <c r="Y148" s="38">
        <v>26</v>
      </c>
      <c r="Z148" s="38">
        <v>52</v>
      </c>
      <c r="AA148" s="38">
        <v>56</v>
      </c>
      <c r="AB148" s="38">
        <v>12</v>
      </c>
      <c r="AC148" s="38">
        <v>44</v>
      </c>
      <c r="AD148" s="38">
        <v>6</v>
      </c>
      <c r="AE148" s="38">
        <v>3</v>
      </c>
      <c r="AF148" s="38">
        <v>3</v>
      </c>
      <c r="AG148" s="38">
        <v>0</v>
      </c>
      <c r="AH148" s="38">
        <v>0</v>
      </c>
      <c r="AI148" s="38">
        <v>0</v>
      </c>
      <c r="AJ148" s="38">
        <v>16</v>
      </c>
      <c r="AK148" s="37">
        <v>20.512820512820511</v>
      </c>
      <c r="AL148" s="40">
        <f t="shared" si="8"/>
        <v>11</v>
      </c>
      <c r="AM148" s="37">
        <f t="shared" si="9"/>
        <v>42.307692307692307</v>
      </c>
      <c r="AN148" s="40">
        <f t="shared" si="10"/>
        <v>5</v>
      </c>
      <c r="AO148" s="37">
        <f t="shared" si="11"/>
        <v>9.6153846153846168</v>
      </c>
      <c r="AP148" s="38">
        <v>79</v>
      </c>
      <c r="AQ148" s="38">
        <v>25</v>
      </c>
      <c r="AR148" s="38">
        <v>54</v>
      </c>
      <c r="AS148" s="38">
        <v>29</v>
      </c>
      <c r="AT148" s="38">
        <v>10</v>
      </c>
      <c r="AU148" s="38">
        <v>19</v>
      </c>
      <c r="AV148" s="38">
        <v>22</v>
      </c>
      <c r="AW148" s="38">
        <v>7</v>
      </c>
      <c r="AX148" s="38">
        <v>15</v>
      </c>
      <c r="AY148" s="38">
        <v>83</v>
      </c>
      <c r="AZ148" s="38">
        <v>30</v>
      </c>
      <c r="BA148" s="38">
        <v>53</v>
      </c>
      <c r="BB148" s="38">
        <v>11</v>
      </c>
      <c r="BC148" s="37">
        <v>13.253012048192772</v>
      </c>
      <c r="BD148" s="40">
        <v>8</v>
      </c>
      <c r="BE148" s="37">
        <v>26.666666666666668</v>
      </c>
      <c r="BF148" s="40">
        <v>3</v>
      </c>
      <c r="BG148" s="37">
        <v>5.6603773584905666</v>
      </c>
      <c r="BH148" s="38">
        <v>22</v>
      </c>
      <c r="BI148" s="38">
        <v>22</v>
      </c>
      <c r="BJ148" s="38">
        <v>7</v>
      </c>
      <c r="BK148" s="38">
        <v>15</v>
      </c>
      <c r="BL148" s="37">
        <v>100</v>
      </c>
      <c r="BM148" s="37">
        <v>100</v>
      </c>
      <c r="BN148" s="37">
        <v>100</v>
      </c>
      <c r="BO148" s="38">
        <v>29</v>
      </c>
      <c r="BP148" s="38">
        <v>11</v>
      </c>
      <c r="BQ148" s="38">
        <v>18</v>
      </c>
      <c r="BR148" s="37">
        <v>75.862068965517238</v>
      </c>
      <c r="BS148" s="37">
        <v>63.636363636363633</v>
      </c>
      <c r="BT148" s="37">
        <v>83.333333333333343</v>
      </c>
      <c r="BU148" s="2"/>
      <c r="BV148" s="2"/>
    </row>
    <row r="149" spans="1:74" ht="15.75" x14ac:dyDescent="0.3">
      <c r="A149" s="2" t="s">
        <v>54</v>
      </c>
      <c r="B149" s="2" t="s">
        <v>55</v>
      </c>
      <c r="C149" s="2" t="s">
        <v>56</v>
      </c>
      <c r="D149" s="2" t="s">
        <v>674</v>
      </c>
      <c r="E149" s="2" t="s">
        <v>674</v>
      </c>
      <c r="F149" s="2" t="s">
        <v>675</v>
      </c>
      <c r="G149" s="2" t="s">
        <v>60</v>
      </c>
      <c r="H149" s="2" t="s">
        <v>61</v>
      </c>
      <c r="I149" s="2" t="s">
        <v>85</v>
      </c>
      <c r="J149" s="2" t="s">
        <v>85</v>
      </c>
      <c r="K149" s="2" t="s">
        <v>850</v>
      </c>
      <c r="L149" s="2" t="s">
        <v>851</v>
      </c>
      <c r="M149" s="2">
        <v>16</v>
      </c>
      <c r="N149" s="2" t="s">
        <v>852</v>
      </c>
      <c r="O149" s="2" t="s">
        <v>853</v>
      </c>
      <c r="P149" s="2" t="s">
        <v>80</v>
      </c>
      <c r="Q149" s="2" t="s">
        <v>90</v>
      </c>
      <c r="R149" s="2" t="s">
        <v>91</v>
      </c>
      <c r="S149" s="2" t="s">
        <v>854</v>
      </c>
      <c r="T149" s="2" t="s">
        <v>855</v>
      </c>
      <c r="U149" s="2" t="s">
        <v>856</v>
      </c>
      <c r="V149" s="2" t="s">
        <v>855</v>
      </c>
      <c r="W149" s="2" t="s">
        <v>74</v>
      </c>
      <c r="X149" s="38">
        <v>56</v>
      </c>
      <c r="Y149" s="38">
        <v>31</v>
      </c>
      <c r="Z149" s="38">
        <v>25</v>
      </c>
      <c r="AA149" s="38">
        <v>56</v>
      </c>
      <c r="AB149" s="38">
        <v>31</v>
      </c>
      <c r="AC149" s="38">
        <v>25</v>
      </c>
      <c r="AD149" s="38">
        <v>0</v>
      </c>
      <c r="AE149" s="38">
        <v>0</v>
      </c>
      <c r="AF149" s="38">
        <v>0</v>
      </c>
      <c r="AG149" s="38">
        <v>0</v>
      </c>
      <c r="AH149" s="38">
        <v>0</v>
      </c>
      <c r="AI149" s="38">
        <v>0</v>
      </c>
      <c r="AJ149" s="38">
        <v>0</v>
      </c>
      <c r="AK149" s="37">
        <v>0</v>
      </c>
      <c r="AL149" s="40">
        <f t="shared" si="8"/>
        <v>0</v>
      </c>
      <c r="AM149" s="37">
        <f t="shared" si="9"/>
        <v>0</v>
      </c>
      <c r="AN149" s="40">
        <f t="shared" si="10"/>
        <v>0</v>
      </c>
      <c r="AO149" s="37">
        <f t="shared" si="11"/>
        <v>0</v>
      </c>
      <c r="AP149" s="38">
        <v>55</v>
      </c>
      <c r="AQ149" s="38">
        <v>27</v>
      </c>
      <c r="AR149" s="38">
        <v>28</v>
      </c>
      <c r="AS149" s="38">
        <v>16</v>
      </c>
      <c r="AT149" s="38">
        <v>6</v>
      </c>
      <c r="AU149" s="38">
        <v>10</v>
      </c>
      <c r="AV149" s="38">
        <v>15</v>
      </c>
      <c r="AW149" s="38">
        <v>11</v>
      </c>
      <c r="AX149" s="38">
        <v>4</v>
      </c>
      <c r="AY149" s="38">
        <v>58</v>
      </c>
      <c r="AZ149" s="38">
        <v>33</v>
      </c>
      <c r="BA149" s="38">
        <v>25</v>
      </c>
      <c r="BB149" s="38">
        <v>4</v>
      </c>
      <c r="BC149" s="37">
        <v>6.8965517241379306</v>
      </c>
      <c r="BD149" s="40">
        <v>1</v>
      </c>
      <c r="BE149" s="37">
        <v>3.0303030303030303</v>
      </c>
      <c r="BF149" s="40">
        <v>3</v>
      </c>
      <c r="BG149" s="37">
        <v>12</v>
      </c>
      <c r="BH149" s="38">
        <v>15</v>
      </c>
      <c r="BI149" s="38">
        <v>16</v>
      </c>
      <c r="BJ149" s="38">
        <v>12</v>
      </c>
      <c r="BK149" s="38">
        <v>4</v>
      </c>
      <c r="BL149" s="37">
        <v>93.75</v>
      </c>
      <c r="BM149" s="37">
        <v>91.666666666666657</v>
      </c>
      <c r="BN149" s="37">
        <v>100</v>
      </c>
      <c r="BO149" s="38">
        <v>23</v>
      </c>
      <c r="BP149" s="38">
        <v>12</v>
      </c>
      <c r="BQ149" s="38">
        <v>11</v>
      </c>
      <c r="BR149" s="37">
        <v>65.217391304347828</v>
      </c>
      <c r="BS149" s="37">
        <v>91.666666666666657</v>
      </c>
      <c r="BT149" s="37">
        <v>36.363636363636367</v>
      </c>
      <c r="BU149" s="2"/>
      <c r="BV149" s="2"/>
    </row>
    <row r="150" spans="1:74" ht="15.75" x14ac:dyDescent="0.3">
      <c r="A150" s="2" t="s">
        <v>54</v>
      </c>
      <c r="B150" s="2" t="s">
        <v>55</v>
      </c>
      <c r="C150" s="2" t="s">
        <v>56</v>
      </c>
      <c r="D150" s="2" t="s">
        <v>674</v>
      </c>
      <c r="E150" s="2" t="s">
        <v>674</v>
      </c>
      <c r="F150" s="2" t="s">
        <v>675</v>
      </c>
      <c r="G150" s="2" t="s">
        <v>60</v>
      </c>
      <c r="H150" s="2" t="s">
        <v>61</v>
      </c>
      <c r="I150" s="2" t="s">
        <v>178</v>
      </c>
      <c r="J150" s="2" t="s">
        <v>178</v>
      </c>
      <c r="K150" s="2" t="s">
        <v>857</v>
      </c>
      <c r="L150" s="2" t="s">
        <v>858</v>
      </c>
      <c r="M150" s="2">
        <v>4</v>
      </c>
      <c r="N150" s="2" t="s">
        <v>859</v>
      </c>
      <c r="O150" s="2" t="s">
        <v>860</v>
      </c>
      <c r="P150" s="2" t="s">
        <v>80</v>
      </c>
      <c r="Q150" s="2" t="s">
        <v>90</v>
      </c>
      <c r="R150" s="2" t="s">
        <v>91</v>
      </c>
      <c r="S150" s="2" t="s">
        <v>861</v>
      </c>
      <c r="T150" s="2" t="s">
        <v>862</v>
      </c>
      <c r="U150" s="2" t="s">
        <v>863</v>
      </c>
      <c r="V150" s="2" t="s">
        <v>862</v>
      </c>
      <c r="W150" s="2" t="s">
        <v>74</v>
      </c>
      <c r="X150" s="38">
        <v>181</v>
      </c>
      <c r="Y150" s="38">
        <v>87</v>
      </c>
      <c r="Z150" s="38">
        <v>94</v>
      </c>
      <c r="AA150" s="38">
        <v>145</v>
      </c>
      <c r="AB150" s="38">
        <v>64</v>
      </c>
      <c r="AC150" s="38">
        <v>81</v>
      </c>
      <c r="AD150" s="38">
        <v>36</v>
      </c>
      <c r="AE150" s="38">
        <v>23</v>
      </c>
      <c r="AF150" s="38">
        <v>13</v>
      </c>
      <c r="AG150" s="38">
        <v>0</v>
      </c>
      <c r="AH150" s="38">
        <v>0</v>
      </c>
      <c r="AI150" s="38">
        <v>0</v>
      </c>
      <c r="AJ150" s="38">
        <v>0</v>
      </c>
      <c r="AK150" s="37">
        <v>0</v>
      </c>
      <c r="AL150" s="40">
        <f t="shared" si="8"/>
        <v>0</v>
      </c>
      <c r="AM150" s="37">
        <f t="shared" si="9"/>
        <v>0</v>
      </c>
      <c r="AN150" s="40">
        <f t="shared" si="10"/>
        <v>0</v>
      </c>
      <c r="AO150" s="37">
        <f t="shared" si="11"/>
        <v>0</v>
      </c>
      <c r="AP150" s="38">
        <v>200</v>
      </c>
      <c r="AQ150" s="38">
        <v>87</v>
      </c>
      <c r="AR150" s="38">
        <v>113</v>
      </c>
      <c r="AS150" s="38">
        <v>72</v>
      </c>
      <c r="AT150" s="38">
        <v>29</v>
      </c>
      <c r="AU150" s="38">
        <v>43</v>
      </c>
      <c r="AV150" s="38">
        <v>43</v>
      </c>
      <c r="AW150" s="38">
        <v>21</v>
      </c>
      <c r="AX150" s="38">
        <v>22</v>
      </c>
      <c r="AY150" s="38">
        <v>181</v>
      </c>
      <c r="AZ150" s="38">
        <v>87</v>
      </c>
      <c r="BA150" s="38">
        <v>94</v>
      </c>
      <c r="BB150" s="38">
        <v>10</v>
      </c>
      <c r="BC150" s="37">
        <v>5.5248618784530388</v>
      </c>
      <c r="BD150" s="40">
        <v>8</v>
      </c>
      <c r="BE150" s="37">
        <v>9.1954022988505741</v>
      </c>
      <c r="BF150" s="40">
        <v>2</v>
      </c>
      <c r="BG150" s="37">
        <v>2.1276595744680851</v>
      </c>
      <c r="BH150" s="38">
        <v>43</v>
      </c>
      <c r="BI150" s="38">
        <v>43</v>
      </c>
      <c r="BJ150" s="38">
        <v>21</v>
      </c>
      <c r="BK150" s="38">
        <v>22</v>
      </c>
      <c r="BL150" s="37">
        <v>100</v>
      </c>
      <c r="BM150" s="37">
        <v>100</v>
      </c>
      <c r="BN150" s="37">
        <v>100</v>
      </c>
      <c r="BO150" s="38">
        <v>54</v>
      </c>
      <c r="BP150" s="38">
        <v>26</v>
      </c>
      <c r="BQ150" s="38">
        <v>28</v>
      </c>
      <c r="BR150" s="37">
        <v>79.629629629629633</v>
      </c>
      <c r="BS150" s="37">
        <v>80.769230769230774</v>
      </c>
      <c r="BT150" s="37">
        <v>78.571428571428569</v>
      </c>
      <c r="BU150" s="2"/>
      <c r="BV150" s="2"/>
    </row>
    <row r="151" spans="1:74" ht="15.75" x14ac:dyDescent="0.3">
      <c r="A151" s="2" t="s">
        <v>54</v>
      </c>
      <c r="B151" s="2" t="s">
        <v>55</v>
      </c>
      <c r="C151" s="2" t="s">
        <v>56</v>
      </c>
      <c r="D151" s="2" t="s">
        <v>674</v>
      </c>
      <c r="E151" s="2" t="s">
        <v>674</v>
      </c>
      <c r="F151" s="2" t="s">
        <v>675</v>
      </c>
      <c r="G151" s="2" t="s">
        <v>60</v>
      </c>
      <c r="H151" s="2" t="s">
        <v>61</v>
      </c>
      <c r="I151" s="2" t="s">
        <v>85</v>
      </c>
      <c r="J151" s="2" t="s">
        <v>85</v>
      </c>
      <c r="K151" s="2" t="s">
        <v>159</v>
      </c>
      <c r="L151" s="2" t="s">
        <v>160</v>
      </c>
      <c r="M151" s="2">
        <v>34</v>
      </c>
      <c r="N151" s="2" t="s">
        <v>864</v>
      </c>
      <c r="O151" s="2" t="s">
        <v>865</v>
      </c>
      <c r="P151" s="2" t="s">
        <v>866</v>
      </c>
      <c r="Q151" s="2" t="s">
        <v>90</v>
      </c>
      <c r="R151" s="2" t="s">
        <v>91</v>
      </c>
      <c r="S151" s="2" t="s">
        <v>867</v>
      </c>
      <c r="T151" s="2" t="s">
        <v>868</v>
      </c>
      <c r="U151" s="2" t="s">
        <v>869</v>
      </c>
      <c r="V151" s="2" t="s">
        <v>868</v>
      </c>
      <c r="W151" s="2" t="s">
        <v>74</v>
      </c>
      <c r="X151" s="38">
        <v>109</v>
      </c>
      <c r="Y151" s="38">
        <v>52</v>
      </c>
      <c r="Z151" s="38">
        <v>57</v>
      </c>
      <c r="AA151" s="38">
        <v>96</v>
      </c>
      <c r="AB151" s="38">
        <v>42</v>
      </c>
      <c r="AC151" s="38">
        <v>54</v>
      </c>
      <c r="AD151" s="38">
        <v>12</v>
      </c>
      <c r="AE151" s="38">
        <v>9</v>
      </c>
      <c r="AF151" s="38">
        <v>3</v>
      </c>
      <c r="AG151" s="38">
        <v>0</v>
      </c>
      <c r="AH151" s="38">
        <v>0</v>
      </c>
      <c r="AI151" s="38">
        <v>0</v>
      </c>
      <c r="AJ151" s="38">
        <v>1</v>
      </c>
      <c r="AK151" s="37">
        <v>0.91743119266055051</v>
      </c>
      <c r="AL151" s="40">
        <f t="shared" si="8"/>
        <v>1</v>
      </c>
      <c r="AM151" s="37">
        <f t="shared" si="9"/>
        <v>1.9230769230769231</v>
      </c>
      <c r="AN151" s="40">
        <f t="shared" si="10"/>
        <v>0</v>
      </c>
      <c r="AO151" s="37">
        <f t="shared" si="11"/>
        <v>0</v>
      </c>
      <c r="AP151" s="38">
        <v>111</v>
      </c>
      <c r="AQ151" s="38">
        <v>48</v>
      </c>
      <c r="AR151" s="38">
        <v>63</v>
      </c>
      <c r="AS151" s="38">
        <v>37</v>
      </c>
      <c r="AT151" s="38">
        <v>18</v>
      </c>
      <c r="AU151" s="38">
        <v>19</v>
      </c>
      <c r="AV151" s="38">
        <v>26</v>
      </c>
      <c r="AW151" s="38">
        <v>10</v>
      </c>
      <c r="AX151" s="38">
        <v>16</v>
      </c>
      <c r="AY151" s="38">
        <v>111</v>
      </c>
      <c r="AZ151" s="38">
        <v>47</v>
      </c>
      <c r="BA151" s="38">
        <v>64</v>
      </c>
      <c r="BB151" s="38">
        <v>11</v>
      </c>
      <c r="BC151" s="37">
        <v>9.9099099099099099</v>
      </c>
      <c r="BD151" s="40">
        <v>7</v>
      </c>
      <c r="BE151" s="37">
        <v>14.893617021276595</v>
      </c>
      <c r="BF151" s="40">
        <v>4</v>
      </c>
      <c r="BG151" s="37">
        <v>6.25</v>
      </c>
      <c r="BH151" s="38">
        <v>26</v>
      </c>
      <c r="BI151" s="38">
        <v>26</v>
      </c>
      <c r="BJ151" s="38">
        <v>10</v>
      </c>
      <c r="BK151" s="38">
        <v>16</v>
      </c>
      <c r="BL151" s="37">
        <v>100</v>
      </c>
      <c r="BM151" s="37">
        <v>100</v>
      </c>
      <c r="BN151" s="37">
        <v>100</v>
      </c>
      <c r="BO151" s="38">
        <v>32</v>
      </c>
      <c r="BP151" s="38">
        <v>14</v>
      </c>
      <c r="BQ151" s="38">
        <v>18</v>
      </c>
      <c r="BR151" s="37">
        <v>81.25</v>
      </c>
      <c r="BS151" s="37">
        <v>71.428571428571431</v>
      </c>
      <c r="BT151" s="37">
        <v>88.888888888888886</v>
      </c>
      <c r="BU151" s="2"/>
      <c r="BV151" s="2"/>
    </row>
    <row r="152" spans="1:74" ht="15.75" x14ac:dyDescent="0.3">
      <c r="A152" s="2" t="s">
        <v>54</v>
      </c>
      <c r="B152" s="2" t="s">
        <v>55</v>
      </c>
      <c r="C152" s="2" t="s">
        <v>56</v>
      </c>
      <c r="D152" s="2" t="s">
        <v>674</v>
      </c>
      <c r="E152" s="2" t="s">
        <v>674</v>
      </c>
      <c r="F152" s="2" t="s">
        <v>675</v>
      </c>
      <c r="G152" s="2" t="s">
        <v>60</v>
      </c>
      <c r="H152" s="2" t="s">
        <v>61</v>
      </c>
      <c r="I152" s="2" t="s">
        <v>62</v>
      </c>
      <c r="J152" s="2" t="s">
        <v>63</v>
      </c>
      <c r="K152" s="2" t="s">
        <v>203</v>
      </c>
      <c r="L152" s="2" t="s">
        <v>870</v>
      </c>
      <c r="M152" s="2">
        <v>63</v>
      </c>
      <c r="N152" s="2" t="s">
        <v>871</v>
      </c>
      <c r="O152" s="2" t="s">
        <v>872</v>
      </c>
      <c r="P152" s="2" t="s">
        <v>80</v>
      </c>
      <c r="Q152" s="2" t="s">
        <v>69</v>
      </c>
      <c r="R152" s="2" t="s">
        <v>70</v>
      </c>
      <c r="S152" s="2" t="s">
        <v>873</v>
      </c>
      <c r="T152" s="2" t="s">
        <v>874</v>
      </c>
      <c r="U152" s="2" t="s">
        <v>875</v>
      </c>
      <c r="V152" s="2" t="s">
        <v>874</v>
      </c>
      <c r="W152" s="2" t="s">
        <v>74</v>
      </c>
      <c r="X152" s="38">
        <v>27</v>
      </c>
      <c r="Y152" s="38">
        <v>17</v>
      </c>
      <c r="Z152" s="38">
        <v>10</v>
      </c>
      <c r="AA152" s="38">
        <v>24</v>
      </c>
      <c r="AB152" s="38">
        <v>14</v>
      </c>
      <c r="AC152" s="38">
        <v>10</v>
      </c>
      <c r="AD152" s="38">
        <v>0</v>
      </c>
      <c r="AE152" s="38">
        <v>0</v>
      </c>
      <c r="AF152" s="38">
        <v>0</v>
      </c>
      <c r="AG152" s="38">
        <v>0</v>
      </c>
      <c r="AH152" s="38">
        <v>0</v>
      </c>
      <c r="AI152" s="38">
        <v>0</v>
      </c>
      <c r="AJ152" s="38">
        <v>3</v>
      </c>
      <c r="AK152" s="37">
        <v>11.111111111111111</v>
      </c>
      <c r="AL152" s="40">
        <f t="shared" si="8"/>
        <v>3</v>
      </c>
      <c r="AM152" s="37">
        <f t="shared" si="9"/>
        <v>17.647058823529413</v>
      </c>
      <c r="AN152" s="40">
        <f t="shared" si="10"/>
        <v>0</v>
      </c>
      <c r="AO152" s="37">
        <f t="shared" si="11"/>
        <v>0</v>
      </c>
      <c r="AP152" s="38">
        <v>29</v>
      </c>
      <c r="AQ152" s="38">
        <v>17</v>
      </c>
      <c r="AR152" s="38">
        <v>12</v>
      </c>
      <c r="AS152" s="38">
        <v>12</v>
      </c>
      <c r="AT152" s="38">
        <v>6</v>
      </c>
      <c r="AU152" s="38">
        <v>6</v>
      </c>
      <c r="AV152" s="38">
        <v>10</v>
      </c>
      <c r="AW152" s="38">
        <v>6</v>
      </c>
      <c r="AX152" s="38">
        <v>4</v>
      </c>
      <c r="AY152" s="38">
        <v>33</v>
      </c>
      <c r="AZ152" s="38">
        <v>23</v>
      </c>
      <c r="BA152" s="38">
        <v>10</v>
      </c>
      <c r="BB152" s="38">
        <v>6</v>
      </c>
      <c r="BC152" s="37">
        <v>18.181818181818183</v>
      </c>
      <c r="BD152" s="40">
        <v>6</v>
      </c>
      <c r="BE152" s="37">
        <v>26.086956521739129</v>
      </c>
      <c r="BF152" s="40">
        <v>0</v>
      </c>
      <c r="BG152" s="37">
        <v>0</v>
      </c>
      <c r="BH152" s="38">
        <v>10</v>
      </c>
      <c r="BI152" s="38">
        <v>17</v>
      </c>
      <c r="BJ152" s="38">
        <v>14</v>
      </c>
      <c r="BK152" s="38">
        <v>3</v>
      </c>
      <c r="BL152" s="37">
        <v>58.82352941176471</v>
      </c>
      <c r="BM152" s="37">
        <v>42.857142857142854</v>
      </c>
      <c r="BN152" s="37">
        <v>133.33333333333331</v>
      </c>
      <c r="BO152" s="38">
        <v>15</v>
      </c>
      <c r="BP152" s="38">
        <v>12</v>
      </c>
      <c r="BQ152" s="38">
        <v>3</v>
      </c>
      <c r="BR152" s="37">
        <v>66.666666666666657</v>
      </c>
      <c r="BS152" s="37">
        <v>50</v>
      </c>
      <c r="BT152" s="37">
        <v>133.33333333333331</v>
      </c>
      <c r="BU152" s="2"/>
      <c r="BV152" s="2"/>
    </row>
    <row r="153" spans="1:74" ht="15.75" x14ac:dyDescent="0.3">
      <c r="A153" s="2" t="s">
        <v>54</v>
      </c>
      <c r="B153" s="2" t="s">
        <v>55</v>
      </c>
      <c r="C153" s="2" t="s">
        <v>56</v>
      </c>
      <c r="D153" s="2" t="s">
        <v>674</v>
      </c>
      <c r="E153" s="2" t="s">
        <v>674</v>
      </c>
      <c r="F153" s="2" t="s">
        <v>675</v>
      </c>
      <c r="G153" s="2" t="s">
        <v>60</v>
      </c>
      <c r="H153" s="2" t="s">
        <v>61</v>
      </c>
      <c r="I153" s="2" t="s">
        <v>62</v>
      </c>
      <c r="J153" s="2" t="s">
        <v>63</v>
      </c>
      <c r="K153" s="2" t="s">
        <v>876</v>
      </c>
      <c r="L153" s="2" t="s">
        <v>877</v>
      </c>
      <c r="M153" s="2">
        <v>16</v>
      </c>
      <c r="N153" s="2" t="s">
        <v>878</v>
      </c>
      <c r="O153" s="2" t="s">
        <v>879</v>
      </c>
      <c r="P153" s="2" t="s">
        <v>880</v>
      </c>
      <c r="Q153" s="2" t="s">
        <v>69</v>
      </c>
      <c r="R153" s="2" t="s">
        <v>70</v>
      </c>
      <c r="S153" s="2" t="s">
        <v>881</v>
      </c>
      <c r="T153" s="2" t="s">
        <v>882</v>
      </c>
      <c r="U153" s="2" t="s">
        <v>883</v>
      </c>
      <c r="V153" s="2" t="s">
        <v>882</v>
      </c>
      <c r="W153" s="2" t="s">
        <v>74</v>
      </c>
      <c r="X153" s="38">
        <v>112</v>
      </c>
      <c r="Y153" s="38">
        <v>59</v>
      </c>
      <c r="Z153" s="38">
        <v>53</v>
      </c>
      <c r="AA153" s="38">
        <v>104</v>
      </c>
      <c r="AB153" s="38">
        <v>56</v>
      </c>
      <c r="AC153" s="38">
        <v>48</v>
      </c>
      <c r="AD153" s="38">
        <v>0</v>
      </c>
      <c r="AE153" s="38">
        <v>0</v>
      </c>
      <c r="AF153" s="38">
        <v>0</v>
      </c>
      <c r="AG153" s="38">
        <v>0</v>
      </c>
      <c r="AH153" s="38">
        <v>0</v>
      </c>
      <c r="AI153" s="38">
        <v>0</v>
      </c>
      <c r="AJ153" s="38">
        <v>8</v>
      </c>
      <c r="AK153" s="37">
        <v>7.1428571428571423</v>
      </c>
      <c r="AL153" s="40">
        <f t="shared" si="8"/>
        <v>3</v>
      </c>
      <c r="AM153" s="37">
        <f t="shared" si="9"/>
        <v>5.0847457627118651</v>
      </c>
      <c r="AN153" s="40">
        <f t="shared" si="10"/>
        <v>5</v>
      </c>
      <c r="AO153" s="37">
        <f t="shared" si="11"/>
        <v>9.433962264150944</v>
      </c>
      <c r="AP153" s="38">
        <v>113</v>
      </c>
      <c r="AQ153" s="38">
        <v>61</v>
      </c>
      <c r="AR153" s="38">
        <v>52</v>
      </c>
      <c r="AS153" s="38">
        <v>30</v>
      </c>
      <c r="AT153" s="38">
        <v>18</v>
      </c>
      <c r="AU153" s="38">
        <v>12</v>
      </c>
      <c r="AV153" s="38">
        <v>0</v>
      </c>
      <c r="AW153" s="38">
        <v>0</v>
      </c>
      <c r="AX153" s="38">
        <v>0</v>
      </c>
      <c r="AY153" s="38">
        <v>123</v>
      </c>
      <c r="AZ153" s="38">
        <v>72</v>
      </c>
      <c r="BA153" s="38">
        <v>51</v>
      </c>
      <c r="BB153" s="38">
        <v>40</v>
      </c>
      <c r="BC153" s="37">
        <v>32.520325203252028</v>
      </c>
      <c r="BD153" s="40">
        <v>29</v>
      </c>
      <c r="BE153" s="37">
        <v>40.277777777777779</v>
      </c>
      <c r="BF153" s="40">
        <v>11</v>
      </c>
      <c r="BG153" s="37">
        <v>21.568627450980394</v>
      </c>
      <c r="BH153" s="38">
        <v>0</v>
      </c>
      <c r="BI153" s="38">
        <v>36</v>
      </c>
      <c r="BJ153" s="38">
        <v>22</v>
      </c>
      <c r="BK153" s="38">
        <v>14</v>
      </c>
      <c r="BL153" s="37">
        <v>0</v>
      </c>
      <c r="BM153" s="37">
        <v>0</v>
      </c>
      <c r="BN153" s="37">
        <v>0</v>
      </c>
      <c r="BO153" s="38">
        <v>39</v>
      </c>
      <c r="BP153" s="38">
        <v>26</v>
      </c>
      <c r="BQ153" s="38">
        <v>13</v>
      </c>
      <c r="BR153" s="37">
        <v>0</v>
      </c>
      <c r="BS153" s="37">
        <v>0</v>
      </c>
      <c r="BT153" s="37">
        <v>0</v>
      </c>
      <c r="BU153" s="2"/>
      <c r="BV153" s="2"/>
    </row>
    <row r="154" spans="1:74" ht="15.75" x14ac:dyDescent="0.3">
      <c r="A154" s="2" t="s">
        <v>54</v>
      </c>
      <c r="B154" s="2" t="s">
        <v>55</v>
      </c>
      <c r="C154" s="2" t="s">
        <v>105</v>
      </c>
      <c r="D154" s="2" t="s">
        <v>674</v>
      </c>
      <c r="E154" s="2" t="s">
        <v>674</v>
      </c>
      <c r="F154" s="2" t="s">
        <v>675</v>
      </c>
      <c r="G154" s="2" t="s">
        <v>60</v>
      </c>
      <c r="H154" s="2" t="s">
        <v>61</v>
      </c>
      <c r="I154" s="2" t="s">
        <v>122</v>
      </c>
      <c r="J154" s="2" t="s">
        <v>884</v>
      </c>
      <c r="K154" s="2" t="s">
        <v>884</v>
      </c>
      <c r="L154" s="2" t="s">
        <v>885</v>
      </c>
      <c r="M154" s="2">
        <v>19</v>
      </c>
      <c r="N154" s="2" t="s">
        <v>886</v>
      </c>
      <c r="O154" s="2" t="s">
        <v>80</v>
      </c>
      <c r="P154" s="2" t="s">
        <v>80</v>
      </c>
      <c r="Q154" s="2" t="s">
        <v>69</v>
      </c>
      <c r="R154" s="2" t="s">
        <v>70</v>
      </c>
      <c r="S154" s="2" t="s">
        <v>887</v>
      </c>
      <c r="T154" s="2" t="s">
        <v>888</v>
      </c>
      <c r="U154" s="2" t="s">
        <v>889</v>
      </c>
      <c r="V154" s="2" t="s">
        <v>888</v>
      </c>
      <c r="W154" s="2" t="s">
        <v>74</v>
      </c>
      <c r="X154" s="38">
        <v>121</v>
      </c>
      <c r="Y154" s="38">
        <v>63</v>
      </c>
      <c r="Z154" s="38">
        <v>58</v>
      </c>
      <c r="AA154" s="38">
        <v>108</v>
      </c>
      <c r="AB154" s="38">
        <v>55</v>
      </c>
      <c r="AC154" s="38">
        <v>53</v>
      </c>
      <c r="AD154" s="38">
        <v>12</v>
      </c>
      <c r="AE154" s="38">
        <v>7</v>
      </c>
      <c r="AF154" s="38">
        <v>5</v>
      </c>
      <c r="AG154" s="38">
        <v>0</v>
      </c>
      <c r="AH154" s="38">
        <v>0</v>
      </c>
      <c r="AI154" s="38">
        <v>0</v>
      </c>
      <c r="AJ154" s="38">
        <v>1</v>
      </c>
      <c r="AK154" s="37">
        <v>0.82644628099173556</v>
      </c>
      <c r="AL154" s="40">
        <f t="shared" si="8"/>
        <v>1</v>
      </c>
      <c r="AM154" s="37">
        <f t="shared" si="9"/>
        <v>1.5873015873015872</v>
      </c>
      <c r="AN154" s="40">
        <f t="shared" si="10"/>
        <v>0</v>
      </c>
      <c r="AO154" s="37">
        <f t="shared" si="11"/>
        <v>0</v>
      </c>
      <c r="AP154" s="38">
        <v>118</v>
      </c>
      <c r="AQ154" s="38">
        <v>59</v>
      </c>
      <c r="AR154" s="38">
        <v>59</v>
      </c>
      <c r="AS154" s="38">
        <v>40</v>
      </c>
      <c r="AT154" s="38">
        <v>15</v>
      </c>
      <c r="AU154" s="38">
        <v>25</v>
      </c>
      <c r="AV154" s="38">
        <v>48</v>
      </c>
      <c r="AW154" s="38">
        <v>22</v>
      </c>
      <c r="AX154" s="38">
        <v>26</v>
      </c>
      <c r="AY154" s="38">
        <v>122</v>
      </c>
      <c r="AZ154" s="38">
        <v>64</v>
      </c>
      <c r="BA154" s="38">
        <v>58</v>
      </c>
      <c r="BB154" s="38">
        <v>-4</v>
      </c>
      <c r="BC154" s="37">
        <v>-3.278688524590164</v>
      </c>
      <c r="BD154" s="40">
        <v>-2</v>
      </c>
      <c r="BE154" s="37">
        <v>-3.125</v>
      </c>
      <c r="BF154" s="40">
        <v>-2</v>
      </c>
      <c r="BG154" s="37">
        <v>-3.4482758620689653</v>
      </c>
      <c r="BH154" s="38">
        <v>48</v>
      </c>
      <c r="BI154" s="38">
        <v>49</v>
      </c>
      <c r="BJ154" s="38">
        <v>23</v>
      </c>
      <c r="BK154" s="38">
        <v>26</v>
      </c>
      <c r="BL154" s="37">
        <v>97.959183673469383</v>
      </c>
      <c r="BM154" s="37">
        <v>95.652173913043484</v>
      </c>
      <c r="BN154" s="37">
        <v>100</v>
      </c>
      <c r="BO154" s="38">
        <v>55</v>
      </c>
      <c r="BP154" s="38">
        <v>25</v>
      </c>
      <c r="BQ154" s="38">
        <v>30</v>
      </c>
      <c r="BR154" s="37">
        <v>87.272727272727266</v>
      </c>
      <c r="BS154" s="37">
        <v>88</v>
      </c>
      <c r="BT154" s="37">
        <v>86.666666666666671</v>
      </c>
      <c r="BU154" s="2"/>
      <c r="BV154" s="2"/>
    </row>
    <row r="155" spans="1:74" ht="15.75" x14ac:dyDescent="0.3">
      <c r="A155" s="2" t="s">
        <v>54</v>
      </c>
      <c r="B155" s="2" t="s">
        <v>55</v>
      </c>
      <c r="C155" s="2" t="s">
        <v>105</v>
      </c>
      <c r="D155" s="2" t="s">
        <v>674</v>
      </c>
      <c r="E155" s="2" t="s">
        <v>674</v>
      </c>
      <c r="F155" s="2" t="s">
        <v>675</v>
      </c>
      <c r="G155" s="2" t="s">
        <v>60</v>
      </c>
      <c r="H155" s="2" t="s">
        <v>61</v>
      </c>
      <c r="I155" s="2" t="s">
        <v>85</v>
      </c>
      <c r="J155" s="2" t="s">
        <v>85</v>
      </c>
      <c r="K155" s="2" t="s">
        <v>890</v>
      </c>
      <c r="L155" s="2" t="s">
        <v>891</v>
      </c>
      <c r="M155" s="2">
        <v>216</v>
      </c>
      <c r="N155" s="2" t="s">
        <v>892</v>
      </c>
      <c r="O155" s="2" t="s">
        <v>893</v>
      </c>
      <c r="P155" s="2" t="s">
        <v>101</v>
      </c>
      <c r="Q155" s="2" t="s">
        <v>90</v>
      </c>
      <c r="R155" s="2" t="s">
        <v>91</v>
      </c>
      <c r="S155" s="2" t="s">
        <v>894</v>
      </c>
      <c r="T155" s="2" t="s">
        <v>895</v>
      </c>
      <c r="U155" s="2" t="s">
        <v>896</v>
      </c>
      <c r="V155" s="2" t="s">
        <v>895</v>
      </c>
      <c r="W155" s="2" t="s">
        <v>74</v>
      </c>
      <c r="X155" s="38">
        <v>187</v>
      </c>
      <c r="Y155" s="38">
        <v>76</v>
      </c>
      <c r="Z155" s="38">
        <v>111</v>
      </c>
      <c r="AA155" s="38">
        <v>185</v>
      </c>
      <c r="AB155" s="38">
        <v>75</v>
      </c>
      <c r="AC155" s="38">
        <v>110</v>
      </c>
      <c r="AD155" s="38">
        <v>2</v>
      </c>
      <c r="AE155" s="38">
        <v>1</v>
      </c>
      <c r="AF155" s="38">
        <v>1</v>
      </c>
      <c r="AG155" s="38">
        <v>0</v>
      </c>
      <c r="AH155" s="38">
        <v>0</v>
      </c>
      <c r="AI155" s="38">
        <v>0</v>
      </c>
      <c r="AJ155" s="38">
        <v>0</v>
      </c>
      <c r="AK155" s="37">
        <v>0</v>
      </c>
      <c r="AL155" s="40">
        <f t="shared" si="8"/>
        <v>0</v>
      </c>
      <c r="AM155" s="37">
        <f t="shared" si="9"/>
        <v>0</v>
      </c>
      <c r="AN155" s="40">
        <f t="shared" si="10"/>
        <v>0</v>
      </c>
      <c r="AO155" s="37">
        <f t="shared" si="11"/>
        <v>0</v>
      </c>
      <c r="AP155" s="38">
        <v>176</v>
      </c>
      <c r="AQ155" s="38">
        <v>79</v>
      </c>
      <c r="AR155" s="38">
        <v>97</v>
      </c>
      <c r="AS155" s="38">
        <v>47</v>
      </c>
      <c r="AT155" s="38">
        <v>22</v>
      </c>
      <c r="AU155" s="38">
        <v>25</v>
      </c>
      <c r="AV155" s="38">
        <v>57</v>
      </c>
      <c r="AW155" s="38">
        <v>16</v>
      </c>
      <c r="AX155" s="38">
        <v>41</v>
      </c>
      <c r="AY155" s="38">
        <v>189</v>
      </c>
      <c r="AZ155" s="38">
        <v>77</v>
      </c>
      <c r="BA155" s="38">
        <v>112</v>
      </c>
      <c r="BB155" s="38">
        <v>3</v>
      </c>
      <c r="BC155" s="37">
        <v>1.5873015873015872</v>
      </c>
      <c r="BD155" s="40">
        <v>4</v>
      </c>
      <c r="BE155" s="37">
        <v>5.1948051948051948</v>
      </c>
      <c r="BF155" s="40">
        <v>-1</v>
      </c>
      <c r="BG155" s="37">
        <v>-0.89285714285714279</v>
      </c>
      <c r="BH155" s="38">
        <v>57</v>
      </c>
      <c r="BI155" s="38">
        <v>58</v>
      </c>
      <c r="BJ155" s="38">
        <v>16</v>
      </c>
      <c r="BK155" s="38">
        <v>42</v>
      </c>
      <c r="BL155" s="37">
        <v>98.275862068965509</v>
      </c>
      <c r="BM155" s="37">
        <v>100</v>
      </c>
      <c r="BN155" s="37">
        <v>97.61904761904762</v>
      </c>
      <c r="BO155" s="38">
        <v>58</v>
      </c>
      <c r="BP155" s="38">
        <v>22</v>
      </c>
      <c r="BQ155" s="38">
        <v>36</v>
      </c>
      <c r="BR155" s="37">
        <v>98.275862068965509</v>
      </c>
      <c r="BS155" s="37">
        <v>72.727272727272734</v>
      </c>
      <c r="BT155" s="37">
        <v>113.88888888888889</v>
      </c>
      <c r="BU155" s="2"/>
      <c r="BV155" s="2"/>
    </row>
    <row r="156" spans="1:74" ht="15.75" x14ac:dyDescent="0.3">
      <c r="A156" s="2" t="s">
        <v>54</v>
      </c>
      <c r="B156" s="2" t="s">
        <v>55</v>
      </c>
      <c r="C156" s="2" t="s">
        <v>105</v>
      </c>
      <c r="D156" s="2" t="s">
        <v>674</v>
      </c>
      <c r="E156" s="2" t="s">
        <v>674</v>
      </c>
      <c r="F156" s="2" t="s">
        <v>675</v>
      </c>
      <c r="G156" s="2" t="s">
        <v>60</v>
      </c>
      <c r="H156" s="2" t="s">
        <v>61</v>
      </c>
      <c r="I156" s="2" t="s">
        <v>122</v>
      </c>
      <c r="J156" s="2" t="s">
        <v>884</v>
      </c>
      <c r="K156" s="2" t="s">
        <v>884</v>
      </c>
      <c r="L156" s="2" t="s">
        <v>897</v>
      </c>
      <c r="M156" s="2">
        <v>0</v>
      </c>
      <c r="N156" s="2" t="s">
        <v>898</v>
      </c>
      <c r="O156" s="2" t="s">
        <v>899</v>
      </c>
      <c r="P156" s="2" t="s">
        <v>193</v>
      </c>
      <c r="Q156" s="2" t="s">
        <v>69</v>
      </c>
      <c r="R156" s="2" t="s">
        <v>70</v>
      </c>
      <c r="S156" s="2" t="s">
        <v>900</v>
      </c>
      <c r="T156" s="2" t="s">
        <v>901</v>
      </c>
      <c r="U156" s="2" t="s">
        <v>902</v>
      </c>
      <c r="V156" s="2" t="s">
        <v>901</v>
      </c>
      <c r="W156" s="2" t="s">
        <v>74</v>
      </c>
      <c r="X156" s="38">
        <v>233</v>
      </c>
      <c r="Y156" s="38">
        <v>116</v>
      </c>
      <c r="Z156" s="38">
        <v>117</v>
      </c>
      <c r="AA156" s="38">
        <v>169</v>
      </c>
      <c r="AB156" s="38">
        <v>79</v>
      </c>
      <c r="AC156" s="38">
        <v>90</v>
      </c>
      <c r="AD156" s="38">
        <v>64</v>
      </c>
      <c r="AE156" s="38">
        <v>37</v>
      </c>
      <c r="AF156" s="38">
        <v>27</v>
      </c>
      <c r="AG156" s="38">
        <v>0</v>
      </c>
      <c r="AH156" s="38">
        <v>0</v>
      </c>
      <c r="AI156" s="38">
        <v>0</v>
      </c>
      <c r="AJ156" s="38">
        <v>0</v>
      </c>
      <c r="AK156" s="37">
        <v>0</v>
      </c>
      <c r="AL156" s="40">
        <f t="shared" si="8"/>
        <v>0</v>
      </c>
      <c r="AM156" s="37">
        <f t="shared" si="9"/>
        <v>0</v>
      </c>
      <c r="AN156" s="40">
        <f t="shared" si="10"/>
        <v>0</v>
      </c>
      <c r="AO156" s="37">
        <f t="shared" si="11"/>
        <v>0</v>
      </c>
      <c r="AP156" s="38">
        <v>200</v>
      </c>
      <c r="AQ156" s="38">
        <v>101</v>
      </c>
      <c r="AR156" s="38">
        <v>99</v>
      </c>
      <c r="AS156" s="38">
        <v>48</v>
      </c>
      <c r="AT156" s="38">
        <v>22</v>
      </c>
      <c r="AU156" s="38">
        <v>26</v>
      </c>
      <c r="AV156" s="38">
        <v>85</v>
      </c>
      <c r="AW156" s="38">
        <v>36</v>
      </c>
      <c r="AX156" s="38">
        <v>49</v>
      </c>
      <c r="AY156" s="38">
        <v>233</v>
      </c>
      <c r="AZ156" s="38">
        <v>117</v>
      </c>
      <c r="BA156" s="38">
        <v>116</v>
      </c>
      <c r="BB156" s="38">
        <v>-4</v>
      </c>
      <c r="BC156" s="37">
        <v>-1.7167381974248928</v>
      </c>
      <c r="BD156" s="40">
        <v>2</v>
      </c>
      <c r="BE156" s="37">
        <v>1.7094017094017095</v>
      </c>
      <c r="BF156" s="40">
        <v>-6</v>
      </c>
      <c r="BG156" s="37">
        <v>-5.1724137931034484</v>
      </c>
      <c r="BH156" s="38">
        <v>85</v>
      </c>
      <c r="BI156" s="38">
        <v>85</v>
      </c>
      <c r="BJ156" s="38">
        <v>37</v>
      </c>
      <c r="BK156" s="38">
        <v>48</v>
      </c>
      <c r="BL156" s="37">
        <v>100</v>
      </c>
      <c r="BM156" s="37">
        <v>97.297297297297305</v>
      </c>
      <c r="BN156" s="37">
        <v>102.08333333333333</v>
      </c>
      <c r="BO156" s="38">
        <v>85</v>
      </c>
      <c r="BP156" s="38">
        <v>37</v>
      </c>
      <c r="BQ156" s="38">
        <v>48</v>
      </c>
      <c r="BR156" s="37">
        <v>100</v>
      </c>
      <c r="BS156" s="37">
        <v>97.297297297297305</v>
      </c>
      <c r="BT156" s="37">
        <v>102.08333333333333</v>
      </c>
      <c r="BU156" s="2"/>
      <c r="BV156" s="2"/>
    </row>
    <row r="157" spans="1:74" ht="15.75" x14ac:dyDescent="0.3">
      <c r="A157" s="2" t="s">
        <v>54</v>
      </c>
      <c r="B157" s="2" t="s">
        <v>55</v>
      </c>
      <c r="C157" s="2" t="s">
        <v>56</v>
      </c>
      <c r="D157" s="2" t="s">
        <v>674</v>
      </c>
      <c r="E157" s="2" t="s">
        <v>674</v>
      </c>
      <c r="F157" s="2" t="s">
        <v>675</v>
      </c>
      <c r="G157" s="2" t="s">
        <v>60</v>
      </c>
      <c r="H157" s="2" t="s">
        <v>61</v>
      </c>
      <c r="I157" s="2" t="s">
        <v>62</v>
      </c>
      <c r="J157" s="2" t="s">
        <v>63</v>
      </c>
      <c r="K157" s="2" t="s">
        <v>697</v>
      </c>
      <c r="L157" s="2" t="s">
        <v>903</v>
      </c>
      <c r="M157" s="2">
        <v>10</v>
      </c>
      <c r="N157" s="2" t="s">
        <v>904</v>
      </c>
      <c r="O157" s="2" t="s">
        <v>905</v>
      </c>
      <c r="P157" s="2" t="s">
        <v>80</v>
      </c>
      <c r="Q157" s="2" t="s">
        <v>69</v>
      </c>
      <c r="R157" s="2" t="s">
        <v>70</v>
      </c>
      <c r="S157" s="2" t="s">
        <v>906</v>
      </c>
      <c r="T157" s="2" t="s">
        <v>907</v>
      </c>
      <c r="U157" s="2" t="s">
        <v>908</v>
      </c>
      <c r="V157" s="2" t="s">
        <v>907</v>
      </c>
      <c r="W157" s="2" t="s">
        <v>74</v>
      </c>
      <c r="X157" s="38">
        <v>10</v>
      </c>
      <c r="Y157" s="38">
        <v>1</v>
      </c>
      <c r="Z157" s="38">
        <v>9</v>
      </c>
      <c r="AA157" s="38">
        <v>10</v>
      </c>
      <c r="AB157" s="38">
        <v>1</v>
      </c>
      <c r="AC157" s="38">
        <v>9</v>
      </c>
      <c r="AD157" s="38">
        <v>0</v>
      </c>
      <c r="AE157" s="38">
        <v>0</v>
      </c>
      <c r="AF157" s="38">
        <v>0</v>
      </c>
      <c r="AG157" s="38">
        <v>0</v>
      </c>
      <c r="AH157" s="38">
        <v>0</v>
      </c>
      <c r="AI157" s="38">
        <v>0</v>
      </c>
      <c r="AJ157" s="38">
        <v>0</v>
      </c>
      <c r="AK157" s="37">
        <v>0</v>
      </c>
      <c r="AL157" s="40">
        <f t="shared" si="8"/>
        <v>0</v>
      </c>
      <c r="AM157" s="37">
        <f t="shared" si="9"/>
        <v>0</v>
      </c>
      <c r="AN157" s="40">
        <f t="shared" si="10"/>
        <v>0</v>
      </c>
      <c r="AO157" s="37">
        <f t="shared" si="11"/>
        <v>0</v>
      </c>
      <c r="AP157" s="38">
        <v>16</v>
      </c>
      <c r="AQ157" s="38">
        <v>10</v>
      </c>
      <c r="AR157" s="38">
        <v>6</v>
      </c>
      <c r="AS157" s="38">
        <v>7</v>
      </c>
      <c r="AT157" s="38">
        <v>4</v>
      </c>
      <c r="AU157" s="38">
        <v>3</v>
      </c>
      <c r="AV157" s="38">
        <v>4</v>
      </c>
      <c r="AW157" s="38">
        <v>0</v>
      </c>
      <c r="AX157" s="38">
        <v>4</v>
      </c>
      <c r="AY157" s="38">
        <v>11</v>
      </c>
      <c r="AZ157" s="38">
        <v>7</v>
      </c>
      <c r="BA157" s="38">
        <v>4</v>
      </c>
      <c r="BB157" s="38">
        <v>-2</v>
      </c>
      <c r="BC157" s="37">
        <v>-18.181818181818183</v>
      </c>
      <c r="BD157" s="40">
        <v>1</v>
      </c>
      <c r="BE157" s="37">
        <v>14.285714285714285</v>
      </c>
      <c r="BF157" s="40">
        <v>-3</v>
      </c>
      <c r="BG157" s="37">
        <v>-75</v>
      </c>
      <c r="BH157" s="38">
        <v>4</v>
      </c>
      <c r="BI157" s="38">
        <v>1</v>
      </c>
      <c r="BJ157" s="38">
        <v>0</v>
      </c>
      <c r="BK157" s="38">
        <v>1</v>
      </c>
      <c r="BL157" s="37">
        <v>400</v>
      </c>
      <c r="BM157" s="37" t="s">
        <v>1860</v>
      </c>
      <c r="BN157" s="37">
        <v>400</v>
      </c>
      <c r="BO157" s="38">
        <v>2</v>
      </c>
      <c r="BP157" s="38">
        <v>0</v>
      </c>
      <c r="BQ157" s="38">
        <v>2</v>
      </c>
      <c r="BR157" s="37">
        <v>200</v>
      </c>
      <c r="BS157" s="37" t="s">
        <v>1860</v>
      </c>
      <c r="BT157" s="37">
        <v>200</v>
      </c>
      <c r="BU157" s="2"/>
      <c r="BV157" s="2"/>
    </row>
    <row r="158" spans="1:74" ht="15.75" x14ac:dyDescent="0.3">
      <c r="A158" s="2" t="s">
        <v>54</v>
      </c>
      <c r="B158" s="2" t="s">
        <v>55</v>
      </c>
      <c r="C158" s="2" t="s">
        <v>105</v>
      </c>
      <c r="D158" s="2" t="s">
        <v>674</v>
      </c>
      <c r="E158" s="2" t="s">
        <v>674</v>
      </c>
      <c r="F158" s="2" t="s">
        <v>675</v>
      </c>
      <c r="G158" s="2" t="s">
        <v>60</v>
      </c>
      <c r="H158" s="2" t="s">
        <v>61</v>
      </c>
      <c r="I158" s="2" t="s">
        <v>62</v>
      </c>
      <c r="J158" s="2" t="s">
        <v>63</v>
      </c>
      <c r="K158" s="2" t="s">
        <v>909</v>
      </c>
      <c r="L158" s="2" t="s">
        <v>910</v>
      </c>
      <c r="M158" s="2">
        <v>1200</v>
      </c>
      <c r="N158" s="2" t="s">
        <v>911</v>
      </c>
      <c r="O158" s="2" t="s">
        <v>912</v>
      </c>
      <c r="P158" s="2" t="s">
        <v>913</v>
      </c>
      <c r="Q158" s="2" t="s">
        <v>69</v>
      </c>
      <c r="R158" s="2" t="s">
        <v>70</v>
      </c>
      <c r="S158" s="2" t="s">
        <v>914</v>
      </c>
      <c r="T158" s="2" t="s">
        <v>915</v>
      </c>
      <c r="U158" s="2" t="s">
        <v>916</v>
      </c>
      <c r="V158" s="2" t="s">
        <v>915</v>
      </c>
      <c r="W158" s="2" t="s">
        <v>74</v>
      </c>
      <c r="X158" s="38">
        <v>186</v>
      </c>
      <c r="Y158" s="38">
        <v>91</v>
      </c>
      <c r="Z158" s="38">
        <v>95</v>
      </c>
      <c r="AA158" s="38">
        <v>172</v>
      </c>
      <c r="AB158" s="38">
        <v>80</v>
      </c>
      <c r="AC158" s="38">
        <v>92</v>
      </c>
      <c r="AD158" s="38">
        <v>14</v>
      </c>
      <c r="AE158" s="38">
        <v>11</v>
      </c>
      <c r="AF158" s="38">
        <v>3</v>
      </c>
      <c r="AG158" s="38">
        <v>0</v>
      </c>
      <c r="AH158" s="38">
        <v>0</v>
      </c>
      <c r="AI158" s="38">
        <v>0</v>
      </c>
      <c r="AJ158" s="38">
        <v>0</v>
      </c>
      <c r="AK158" s="37">
        <v>0</v>
      </c>
      <c r="AL158" s="40">
        <f t="shared" si="8"/>
        <v>0</v>
      </c>
      <c r="AM158" s="37">
        <f t="shared" si="9"/>
        <v>0</v>
      </c>
      <c r="AN158" s="40">
        <f t="shared" si="10"/>
        <v>0</v>
      </c>
      <c r="AO158" s="37">
        <f t="shared" si="11"/>
        <v>0</v>
      </c>
      <c r="AP158" s="38">
        <v>164</v>
      </c>
      <c r="AQ158" s="38">
        <v>88</v>
      </c>
      <c r="AR158" s="38">
        <v>76</v>
      </c>
      <c r="AS158" s="38">
        <v>43</v>
      </c>
      <c r="AT158" s="38">
        <v>21</v>
      </c>
      <c r="AU158" s="38">
        <v>22</v>
      </c>
      <c r="AV158" s="38">
        <v>53</v>
      </c>
      <c r="AW158" s="38">
        <v>20</v>
      </c>
      <c r="AX158" s="38">
        <v>33</v>
      </c>
      <c r="AY158" s="38">
        <v>186</v>
      </c>
      <c r="AZ158" s="38">
        <v>91</v>
      </c>
      <c r="BA158" s="38">
        <v>95</v>
      </c>
      <c r="BB158" s="38">
        <v>12</v>
      </c>
      <c r="BC158" s="37">
        <v>6.4516129032258061</v>
      </c>
      <c r="BD158" s="40">
        <v>4</v>
      </c>
      <c r="BE158" s="37">
        <v>4.395604395604396</v>
      </c>
      <c r="BF158" s="40">
        <v>8</v>
      </c>
      <c r="BG158" s="37">
        <v>8.4210526315789469</v>
      </c>
      <c r="BH158" s="38">
        <v>53</v>
      </c>
      <c r="BI158" s="38">
        <v>53</v>
      </c>
      <c r="BJ158" s="38">
        <v>20</v>
      </c>
      <c r="BK158" s="38">
        <v>33</v>
      </c>
      <c r="BL158" s="37">
        <v>100</v>
      </c>
      <c r="BM158" s="37">
        <v>100</v>
      </c>
      <c r="BN158" s="37">
        <v>100</v>
      </c>
      <c r="BO158" s="38">
        <v>64</v>
      </c>
      <c r="BP158" s="38">
        <v>28</v>
      </c>
      <c r="BQ158" s="38">
        <v>36</v>
      </c>
      <c r="BR158" s="37">
        <v>82.8125</v>
      </c>
      <c r="BS158" s="37">
        <v>71.428571428571431</v>
      </c>
      <c r="BT158" s="37">
        <v>91.666666666666657</v>
      </c>
      <c r="BU158" s="2"/>
      <c r="BV158" s="2"/>
    </row>
    <row r="159" spans="1:74" ht="15.75" x14ac:dyDescent="0.3">
      <c r="A159" s="2" t="s">
        <v>54</v>
      </c>
      <c r="B159" s="2" t="s">
        <v>55</v>
      </c>
      <c r="C159" s="2" t="s">
        <v>105</v>
      </c>
      <c r="D159" s="2" t="s">
        <v>674</v>
      </c>
      <c r="E159" s="2" t="s">
        <v>674</v>
      </c>
      <c r="F159" s="2" t="s">
        <v>675</v>
      </c>
      <c r="G159" s="2" t="s">
        <v>60</v>
      </c>
      <c r="H159" s="2" t="s">
        <v>61</v>
      </c>
      <c r="I159" s="2" t="s">
        <v>178</v>
      </c>
      <c r="J159" s="2" t="s">
        <v>178</v>
      </c>
      <c r="K159" s="2" t="s">
        <v>159</v>
      </c>
      <c r="L159" s="2" t="s">
        <v>917</v>
      </c>
      <c r="M159" s="2">
        <v>11</v>
      </c>
      <c r="N159" s="2" t="s">
        <v>918</v>
      </c>
      <c r="O159" s="2" t="s">
        <v>919</v>
      </c>
      <c r="P159" s="2" t="s">
        <v>80</v>
      </c>
      <c r="Q159" s="2" t="s">
        <v>90</v>
      </c>
      <c r="R159" s="2" t="s">
        <v>91</v>
      </c>
      <c r="S159" s="2" t="s">
        <v>920</v>
      </c>
      <c r="T159" s="2" t="s">
        <v>921</v>
      </c>
      <c r="U159" s="2" t="s">
        <v>922</v>
      </c>
      <c r="V159" s="2" t="s">
        <v>921</v>
      </c>
      <c r="W159" s="2" t="s">
        <v>74</v>
      </c>
      <c r="X159" s="38">
        <v>114</v>
      </c>
      <c r="Y159" s="38">
        <v>58</v>
      </c>
      <c r="Z159" s="38">
        <v>56</v>
      </c>
      <c r="AA159" s="38">
        <v>94</v>
      </c>
      <c r="AB159" s="38">
        <v>44</v>
      </c>
      <c r="AC159" s="38">
        <v>50</v>
      </c>
      <c r="AD159" s="38">
        <v>20</v>
      </c>
      <c r="AE159" s="38">
        <v>14</v>
      </c>
      <c r="AF159" s="38">
        <v>6</v>
      </c>
      <c r="AG159" s="38">
        <v>0</v>
      </c>
      <c r="AH159" s="38">
        <v>0</v>
      </c>
      <c r="AI159" s="38">
        <v>0</v>
      </c>
      <c r="AJ159" s="38">
        <v>0</v>
      </c>
      <c r="AK159" s="37">
        <v>0</v>
      </c>
      <c r="AL159" s="40">
        <f t="shared" si="8"/>
        <v>0</v>
      </c>
      <c r="AM159" s="37">
        <f t="shared" si="9"/>
        <v>0</v>
      </c>
      <c r="AN159" s="40">
        <f t="shared" si="10"/>
        <v>0</v>
      </c>
      <c r="AO159" s="37">
        <f t="shared" si="11"/>
        <v>0</v>
      </c>
      <c r="AP159" s="38">
        <v>132</v>
      </c>
      <c r="AQ159" s="38">
        <v>60</v>
      </c>
      <c r="AR159" s="38">
        <v>72</v>
      </c>
      <c r="AS159" s="38">
        <v>55</v>
      </c>
      <c r="AT159" s="38">
        <v>18</v>
      </c>
      <c r="AU159" s="38">
        <v>37</v>
      </c>
      <c r="AV159" s="38">
        <v>35</v>
      </c>
      <c r="AW159" s="38">
        <v>16</v>
      </c>
      <c r="AX159" s="38">
        <v>19</v>
      </c>
      <c r="AY159" s="38">
        <v>113</v>
      </c>
      <c r="AZ159" s="38">
        <v>59</v>
      </c>
      <c r="BA159" s="38">
        <v>54</v>
      </c>
      <c r="BB159" s="38">
        <v>1</v>
      </c>
      <c r="BC159" s="37">
        <v>0.88495575221238942</v>
      </c>
      <c r="BD159" s="40">
        <v>1</v>
      </c>
      <c r="BE159" s="37">
        <v>1.6949152542372881</v>
      </c>
      <c r="BF159" s="40">
        <v>0</v>
      </c>
      <c r="BG159" s="37">
        <v>0</v>
      </c>
      <c r="BH159" s="38">
        <v>35</v>
      </c>
      <c r="BI159" s="38">
        <v>34</v>
      </c>
      <c r="BJ159" s="38">
        <v>16</v>
      </c>
      <c r="BK159" s="38">
        <v>18</v>
      </c>
      <c r="BL159" s="37">
        <v>102.94117647058823</v>
      </c>
      <c r="BM159" s="37">
        <v>100</v>
      </c>
      <c r="BN159" s="37">
        <v>105.55555555555556</v>
      </c>
      <c r="BO159" s="38">
        <v>40</v>
      </c>
      <c r="BP159" s="38">
        <v>19</v>
      </c>
      <c r="BQ159" s="38">
        <v>21</v>
      </c>
      <c r="BR159" s="37">
        <v>87.5</v>
      </c>
      <c r="BS159" s="37">
        <v>84.210526315789465</v>
      </c>
      <c r="BT159" s="37">
        <v>90.476190476190482</v>
      </c>
      <c r="BU159" s="2"/>
      <c r="BV159" s="2"/>
    </row>
    <row r="160" spans="1:74" ht="15.75" x14ac:dyDescent="0.3">
      <c r="A160" s="2" t="s">
        <v>54</v>
      </c>
      <c r="B160" s="2" t="s">
        <v>55</v>
      </c>
      <c r="C160" s="2" t="s">
        <v>105</v>
      </c>
      <c r="D160" s="2" t="s">
        <v>674</v>
      </c>
      <c r="E160" s="2" t="s">
        <v>674</v>
      </c>
      <c r="F160" s="2" t="s">
        <v>675</v>
      </c>
      <c r="G160" s="2" t="s">
        <v>60</v>
      </c>
      <c r="H160" s="2" t="s">
        <v>61</v>
      </c>
      <c r="I160" s="2" t="s">
        <v>122</v>
      </c>
      <c r="J160" s="2" t="s">
        <v>740</v>
      </c>
      <c r="K160" s="2" t="s">
        <v>76</v>
      </c>
      <c r="L160" s="2" t="s">
        <v>306</v>
      </c>
      <c r="M160" s="2">
        <v>108</v>
      </c>
      <c r="N160" s="2" t="s">
        <v>923</v>
      </c>
      <c r="O160" s="2" t="s">
        <v>924</v>
      </c>
      <c r="P160" s="2" t="s">
        <v>80</v>
      </c>
      <c r="Q160" s="2" t="s">
        <v>69</v>
      </c>
      <c r="R160" s="2" t="s">
        <v>70</v>
      </c>
      <c r="S160" s="2" t="s">
        <v>925</v>
      </c>
      <c r="T160" s="2" t="s">
        <v>926</v>
      </c>
      <c r="U160" s="2" t="s">
        <v>927</v>
      </c>
      <c r="V160" s="2" t="s">
        <v>926</v>
      </c>
      <c r="W160" s="2" t="s">
        <v>74</v>
      </c>
      <c r="X160" s="38">
        <v>59</v>
      </c>
      <c r="Y160" s="38">
        <v>18</v>
      </c>
      <c r="Z160" s="38">
        <v>41</v>
      </c>
      <c r="AA160" s="38">
        <v>43</v>
      </c>
      <c r="AB160" s="38">
        <v>9</v>
      </c>
      <c r="AC160" s="38">
        <v>34</v>
      </c>
      <c r="AD160" s="38">
        <v>7</v>
      </c>
      <c r="AE160" s="38">
        <v>3</v>
      </c>
      <c r="AF160" s="38">
        <v>4</v>
      </c>
      <c r="AG160" s="38">
        <v>0</v>
      </c>
      <c r="AH160" s="38">
        <v>0</v>
      </c>
      <c r="AI160" s="38">
        <v>0</v>
      </c>
      <c r="AJ160" s="38">
        <v>9</v>
      </c>
      <c r="AK160" s="37">
        <v>15.254237288135593</v>
      </c>
      <c r="AL160" s="40">
        <f t="shared" si="8"/>
        <v>6</v>
      </c>
      <c r="AM160" s="37">
        <f t="shared" si="9"/>
        <v>33.333333333333329</v>
      </c>
      <c r="AN160" s="40">
        <f t="shared" si="10"/>
        <v>3</v>
      </c>
      <c r="AO160" s="37">
        <f t="shared" si="11"/>
        <v>7.3170731707317067</v>
      </c>
      <c r="AP160" s="38">
        <v>68</v>
      </c>
      <c r="AQ160" s="38">
        <v>28</v>
      </c>
      <c r="AR160" s="38">
        <v>40</v>
      </c>
      <c r="AS160" s="38">
        <v>23</v>
      </c>
      <c r="AT160" s="38">
        <v>9</v>
      </c>
      <c r="AU160" s="38">
        <v>14</v>
      </c>
      <c r="AV160" s="38">
        <v>19</v>
      </c>
      <c r="AW160" s="38">
        <v>2</v>
      </c>
      <c r="AX160" s="38">
        <v>17</v>
      </c>
      <c r="AY160" s="38">
        <v>73</v>
      </c>
      <c r="AZ160" s="38">
        <v>24</v>
      </c>
      <c r="BA160" s="38">
        <v>49</v>
      </c>
      <c r="BB160" s="38">
        <v>9</v>
      </c>
      <c r="BC160" s="37">
        <v>12.328767123287671</v>
      </c>
      <c r="BD160" s="40">
        <v>3</v>
      </c>
      <c r="BE160" s="37">
        <v>12.5</v>
      </c>
      <c r="BF160" s="40">
        <v>6</v>
      </c>
      <c r="BG160" s="37">
        <v>12.244897959183673</v>
      </c>
      <c r="BH160" s="38">
        <v>19</v>
      </c>
      <c r="BI160" s="38">
        <v>24</v>
      </c>
      <c r="BJ160" s="38">
        <v>4</v>
      </c>
      <c r="BK160" s="38">
        <v>20</v>
      </c>
      <c r="BL160" s="37">
        <v>79.166666666666657</v>
      </c>
      <c r="BM160" s="37">
        <v>50</v>
      </c>
      <c r="BN160" s="37">
        <v>85</v>
      </c>
      <c r="BO160" s="38">
        <v>27</v>
      </c>
      <c r="BP160" s="38">
        <v>6</v>
      </c>
      <c r="BQ160" s="38">
        <v>21</v>
      </c>
      <c r="BR160" s="37">
        <v>70.370370370370367</v>
      </c>
      <c r="BS160" s="37">
        <v>33.333333333333329</v>
      </c>
      <c r="BT160" s="37">
        <v>80.952380952380949</v>
      </c>
      <c r="BU160" s="2"/>
      <c r="BV160" s="2"/>
    </row>
    <row r="161" spans="1:74" ht="15.75" x14ac:dyDescent="0.3">
      <c r="A161" s="2" t="s">
        <v>54</v>
      </c>
      <c r="B161" s="2" t="s">
        <v>55</v>
      </c>
      <c r="C161" s="2" t="s">
        <v>105</v>
      </c>
      <c r="D161" s="2" t="s">
        <v>674</v>
      </c>
      <c r="E161" s="2" t="s">
        <v>674</v>
      </c>
      <c r="F161" s="2" t="s">
        <v>675</v>
      </c>
      <c r="G161" s="2" t="s">
        <v>60</v>
      </c>
      <c r="H161" s="2" t="s">
        <v>61</v>
      </c>
      <c r="I161" s="2" t="s">
        <v>62</v>
      </c>
      <c r="J161" s="2" t="s">
        <v>63</v>
      </c>
      <c r="K161" s="2" t="s">
        <v>768</v>
      </c>
      <c r="L161" s="2" t="s">
        <v>928</v>
      </c>
      <c r="M161" s="2">
        <v>5</v>
      </c>
      <c r="N161" s="2" t="s">
        <v>929</v>
      </c>
      <c r="O161" s="2" t="s">
        <v>930</v>
      </c>
      <c r="P161" s="2" t="s">
        <v>931</v>
      </c>
      <c r="Q161" s="2" t="s">
        <v>69</v>
      </c>
      <c r="R161" s="2" t="s">
        <v>70</v>
      </c>
      <c r="S161" s="2" t="s">
        <v>932</v>
      </c>
      <c r="T161" s="2" t="s">
        <v>933</v>
      </c>
      <c r="U161" s="2" t="s">
        <v>934</v>
      </c>
      <c r="V161" s="2" t="s">
        <v>933</v>
      </c>
      <c r="W161" s="2" t="s">
        <v>74</v>
      </c>
      <c r="X161" s="38">
        <v>124</v>
      </c>
      <c r="Y161" s="38">
        <v>48</v>
      </c>
      <c r="Z161" s="38">
        <v>76</v>
      </c>
      <c r="AA161" s="38">
        <v>120</v>
      </c>
      <c r="AB161" s="38">
        <v>45</v>
      </c>
      <c r="AC161" s="38">
        <v>75</v>
      </c>
      <c r="AD161" s="38">
        <v>2</v>
      </c>
      <c r="AE161" s="38">
        <v>2</v>
      </c>
      <c r="AF161" s="38">
        <v>0</v>
      </c>
      <c r="AG161" s="38">
        <v>0</v>
      </c>
      <c r="AH161" s="38">
        <v>0</v>
      </c>
      <c r="AI161" s="38">
        <v>0</v>
      </c>
      <c r="AJ161" s="38">
        <v>2</v>
      </c>
      <c r="AK161" s="37">
        <v>1.6129032258064515</v>
      </c>
      <c r="AL161" s="40">
        <f t="shared" si="8"/>
        <v>1</v>
      </c>
      <c r="AM161" s="37">
        <f t="shared" si="9"/>
        <v>2.083333333333333</v>
      </c>
      <c r="AN161" s="40">
        <f t="shared" si="10"/>
        <v>1</v>
      </c>
      <c r="AO161" s="37">
        <f t="shared" si="11"/>
        <v>1.3157894736842104</v>
      </c>
      <c r="AP161" s="38">
        <v>130</v>
      </c>
      <c r="AQ161" s="38">
        <v>56</v>
      </c>
      <c r="AR161" s="38">
        <v>74</v>
      </c>
      <c r="AS161" s="38">
        <v>46</v>
      </c>
      <c r="AT161" s="38">
        <v>22</v>
      </c>
      <c r="AU161" s="38">
        <v>24</v>
      </c>
      <c r="AV161" s="38">
        <v>42</v>
      </c>
      <c r="AW161" s="38">
        <v>17</v>
      </c>
      <c r="AX161" s="38">
        <v>25</v>
      </c>
      <c r="AY161" s="38">
        <v>125</v>
      </c>
      <c r="AZ161" s="38">
        <v>49</v>
      </c>
      <c r="BA161" s="38">
        <v>76</v>
      </c>
      <c r="BB161" s="38">
        <v>-1</v>
      </c>
      <c r="BC161" s="37">
        <v>-0.8</v>
      </c>
      <c r="BD161" s="40">
        <v>-2</v>
      </c>
      <c r="BE161" s="37">
        <v>-4.0816326530612246</v>
      </c>
      <c r="BF161" s="40">
        <v>1</v>
      </c>
      <c r="BG161" s="37">
        <v>1.3157894736842104</v>
      </c>
      <c r="BH161" s="38">
        <v>42</v>
      </c>
      <c r="BI161" s="38">
        <v>42</v>
      </c>
      <c r="BJ161" s="38">
        <v>17</v>
      </c>
      <c r="BK161" s="38">
        <v>25</v>
      </c>
      <c r="BL161" s="37">
        <v>100</v>
      </c>
      <c r="BM161" s="37">
        <v>100</v>
      </c>
      <c r="BN161" s="37">
        <v>100</v>
      </c>
      <c r="BO161" s="38">
        <v>50</v>
      </c>
      <c r="BP161" s="38">
        <v>24</v>
      </c>
      <c r="BQ161" s="38">
        <v>26</v>
      </c>
      <c r="BR161" s="37">
        <v>84</v>
      </c>
      <c r="BS161" s="37">
        <v>70.833333333333343</v>
      </c>
      <c r="BT161" s="37">
        <v>96.15384615384616</v>
      </c>
      <c r="BU161" s="2"/>
      <c r="BV161" s="2"/>
    </row>
    <row r="162" spans="1:74" ht="15.75" x14ac:dyDescent="0.3">
      <c r="A162" s="2" t="s">
        <v>54</v>
      </c>
      <c r="B162" s="2" t="s">
        <v>55</v>
      </c>
      <c r="C162" s="2" t="s">
        <v>56</v>
      </c>
      <c r="D162" s="2" t="s">
        <v>674</v>
      </c>
      <c r="E162" s="2" t="s">
        <v>674</v>
      </c>
      <c r="F162" s="2" t="s">
        <v>675</v>
      </c>
      <c r="G162" s="2" t="s">
        <v>60</v>
      </c>
      <c r="H162" s="2" t="s">
        <v>61</v>
      </c>
      <c r="I162" s="2" t="s">
        <v>62</v>
      </c>
      <c r="J162" s="2" t="s">
        <v>63</v>
      </c>
      <c r="K162" s="2" t="s">
        <v>936</v>
      </c>
      <c r="L162" s="2" t="s">
        <v>937</v>
      </c>
      <c r="M162" s="2">
        <v>21</v>
      </c>
      <c r="N162" s="2" t="s">
        <v>938</v>
      </c>
      <c r="O162" s="2" t="s">
        <v>939</v>
      </c>
      <c r="P162" s="2" t="s">
        <v>935</v>
      </c>
      <c r="Q162" s="2" t="s">
        <v>69</v>
      </c>
      <c r="R162" s="2" t="s">
        <v>70</v>
      </c>
      <c r="S162" s="2" t="s">
        <v>940</v>
      </c>
      <c r="T162" s="2" t="s">
        <v>941</v>
      </c>
      <c r="U162" s="2" t="s">
        <v>942</v>
      </c>
      <c r="V162" s="2" t="s">
        <v>941</v>
      </c>
      <c r="W162" s="2" t="s">
        <v>84</v>
      </c>
      <c r="X162" s="38">
        <v>855</v>
      </c>
      <c r="Y162" s="38">
        <v>437</v>
      </c>
      <c r="Z162" s="38">
        <v>418</v>
      </c>
      <c r="AA162" s="38">
        <v>812</v>
      </c>
      <c r="AB162" s="38">
        <v>422</v>
      </c>
      <c r="AC162" s="38">
        <v>390</v>
      </c>
      <c r="AD162" s="38">
        <v>31</v>
      </c>
      <c r="AE162" s="38">
        <v>11</v>
      </c>
      <c r="AF162" s="38">
        <v>20</v>
      </c>
      <c r="AG162" s="38">
        <v>0</v>
      </c>
      <c r="AH162" s="38">
        <v>0</v>
      </c>
      <c r="AI162" s="38">
        <v>0</v>
      </c>
      <c r="AJ162" s="38">
        <v>12</v>
      </c>
      <c r="AK162" s="37">
        <v>1.4035087719298245</v>
      </c>
      <c r="AL162" s="40">
        <f t="shared" si="8"/>
        <v>4</v>
      </c>
      <c r="AM162" s="37">
        <f t="shared" si="9"/>
        <v>0.91533180778032042</v>
      </c>
      <c r="AN162" s="40">
        <f t="shared" si="10"/>
        <v>8</v>
      </c>
      <c r="AO162" s="37">
        <f t="shared" si="11"/>
        <v>1.9138755980861244</v>
      </c>
      <c r="AP162" s="38">
        <v>860</v>
      </c>
      <c r="AQ162" s="38">
        <v>471</v>
      </c>
      <c r="AR162" s="38">
        <v>389</v>
      </c>
      <c r="AS162" s="38">
        <v>214</v>
      </c>
      <c r="AT162" s="38">
        <v>126</v>
      </c>
      <c r="AU162" s="38">
        <v>88</v>
      </c>
      <c r="AV162" s="38">
        <v>218</v>
      </c>
      <c r="AW162" s="38">
        <v>106</v>
      </c>
      <c r="AX162" s="38">
        <v>112</v>
      </c>
      <c r="AY162" s="38">
        <v>747</v>
      </c>
      <c r="AZ162" s="38">
        <v>369</v>
      </c>
      <c r="BA162" s="38">
        <v>378</v>
      </c>
      <c r="BB162" s="38">
        <v>-117</v>
      </c>
      <c r="BC162" s="37">
        <v>-15.66265060240964</v>
      </c>
      <c r="BD162" s="40">
        <v>-82</v>
      </c>
      <c r="BE162" s="37">
        <v>-22.222222222222221</v>
      </c>
      <c r="BF162" s="40">
        <v>-35</v>
      </c>
      <c r="BG162" s="37">
        <v>-9.2592592592592595</v>
      </c>
      <c r="BH162" s="38">
        <v>218</v>
      </c>
      <c r="BI162" s="38">
        <v>303</v>
      </c>
      <c r="BJ162" s="38">
        <v>145</v>
      </c>
      <c r="BK162" s="38">
        <v>158</v>
      </c>
      <c r="BL162" s="37">
        <v>71.947194719471952</v>
      </c>
      <c r="BM162" s="37">
        <v>73.103448275862064</v>
      </c>
      <c r="BN162" s="37">
        <v>70.886075949367083</v>
      </c>
      <c r="BO162" s="38">
        <v>253</v>
      </c>
      <c r="BP162" s="38">
        <v>126</v>
      </c>
      <c r="BQ162" s="38">
        <v>127</v>
      </c>
      <c r="BR162" s="37">
        <v>86.166007905138343</v>
      </c>
      <c r="BS162" s="37">
        <v>84.126984126984127</v>
      </c>
      <c r="BT162" s="37">
        <v>88.188976377952756</v>
      </c>
      <c r="BU162" s="2"/>
      <c r="BV162" s="2"/>
    </row>
    <row r="163" spans="1:74" ht="15.75" x14ac:dyDescent="0.3">
      <c r="A163" s="2" t="s">
        <v>54</v>
      </c>
      <c r="B163" s="2" t="s">
        <v>55</v>
      </c>
      <c r="C163" s="2" t="s">
        <v>105</v>
      </c>
      <c r="D163" s="2" t="s">
        <v>674</v>
      </c>
      <c r="E163" s="2" t="s">
        <v>674</v>
      </c>
      <c r="F163" s="2" t="s">
        <v>675</v>
      </c>
      <c r="G163" s="2" t="s">
        <v>60</v>
      </c>
      <c r="H163" s="2" t="s">
        <v>61</v>
      </c>
      <c r="I163" s="2" t="s">
        <v>122</v>
      </c>
      <c r="J163" s="2" t="s">
        <v>740</v>
      </c>
      <c r="K163" s="2" t="s">
        <v>948</v>
      </c>
      <c r="L163" s="2" t="s">
        <v>949</v>
      </c>
      <c r="M163" s="2">
        <v>0</v>
      </c>
      <c r="N163" s="2" t="s">
        <v>950</v>
      </c>
      <c r="O163" s="2" t="s">
        <v>951</v>
      </c>
      <c r="P163" s="2" t="s">
        <v>880</v>
      </c>
      <c r="Q163" s="2" t="s">
        <v>69</v>
      </c>
      <c r="R163" s="2" t="s">
        <v>70</v>
      </c>
      <c r="S163" s="2" t="s">
        <v>952</v>
      </c>
      <c r="T163" s="2" t="s">
        <v>953</v>
      </c>
      <c r="U163" s="2" t="s">
        <v>954</v>
      </c>
      <c r="V163" s="2" t="s">
        <v>953</v>
      </c>
      <c r="W163" s="2" t="s">
        <v>74</v>
      </c>
      <c r="X163" s="38">
        <v>235</v>
      </c>
      <c r="Y163" s="38">
        <v>107</v>
      </c>
      <c r="Z163" s="38">
        <v>128</v>
      </c>
      <c r="AA163" s="38">
        <v>212</v>
      </c>
      <c r="AB163" s="38">
        <v>94</v>
      </c>
      <c r="AC163" s="38">
        <v>118</v>
      </c>
      <c r="AD163" s="38">
        <v>12</v>
      </c>
      <c r="AE163" s="38">
        <v>8</v>
      </c>
      <c r="AF163" s="38">
        <v>4</v>
      </c>
      <c r="AG163" s="38">
        <v>0</v>
      </c>
      <c r="AH163" s="38">
        <v>0</v>
      </c>
      <c r="AI163" s="38">
        <v>0</v>
      </c>
      <c r="AJ163" s="38">
        <v>11</v>
      </c>
      <c r="AK163" s="37">
        <v>4.6808510638297873</v>
      </c>
      <c r="AL163" s="40">
        <f t="shared" si="8"/>
        <v>5</v>
      </c>
      <c r="AM163" s="37">
        <f t="shared" si="9"/>
        <v>4.6728971962616823</v>
      </c>
      <c r="AN163" s="40">
        <f t="shared" si="10"/>
        <v>6</v>
      </c>
      <c r="AO163" s="37">
        <f t="shared" si="11"/>
        <v>4.6875</v>
      </c>
      <c r="AP163" s="38">
        <v>229</v>
      </c>
      <c r="AQ163" s="38">
        <v>102</v>
      </c>
      <c r="AR163" s="38">
        <v>127</v>
      </c>
      <c r="AS163" s="38">
        <v>75</v>
      </c>
      <c r="AT163" s="38">
        <v>35</v>
      </c>
      <c r="AU163" s="38">
        <v>40</v>
      </c>
      <c r="AV163" s="38">
        <v>81</v>
      </c>
      <c r="AW163" s="38">
        <v>39</v>
      </c>
      <c r="AX163" s="38">
        <v>42</v>
      </c>
      <c r="AY163" s="38">
        <v>242</v>
      </c>
      <c r="AZ163" s="38">
        <v>108</v>
      </c>
      <c r="BA163" s="38">
        <v>134</v>
      </c>
      <c r="BB163" s="38">
        <v>7</v>
      </c>
      <c r="BC163" s="37">
        <v>2.8925619834710745</v>
      </c>
      <c r="BD163" s="40">
        <v>2</v>
      </c>
      <c r="BE163" s="37">
        <v>1.8518518518518516</v>
      </c>
      <c r="BF163" s="40">
        <v>5</v>
      </c>
      <c r="BG163" s="37">
        <v>3.7313432835820892</v>
      </c>
      <c r="BH163" s="38">
        <v>81</v>
      </c>
      <c r="BI163" s="38">
        <v>80</v>
      </c>
      <c r="BJ163" s="38">
        <v>38</v>
      </c>
      <c r="BK163" s="38">
        <v>42</v>
      </c>
      <c r="BL163" s="37">
        <v>101.25</v>
      </c>
      <c r="BM163" s="37">
        <v>102.63157894736842</v>
      </c>
      <c r="BN163" s="37">
        <v>100</v>
      </c>
      <c r="BO163" s="38">
        <v>97</v>
      </c>
      <c r="BP163" s="38">
        <v>46</v>
      </c>
      <c r="BQ163" s="38">
        <v>51</v>
      </c>
      <c r="BR163" s="37">
        <v>83.505154639175259</v>
      </c>
      <c r="BS163" s="37">
        <v>84.782608695652172</v>
      </c>
      <c r="BT163" s="37">
        <v>82.35294117647058</v>
      </c>
      <c r="BU163" s="2"/>
      <c r="BV163" s="2"/>
    </row>
    <row r="164" spans="1:74" ht="15.75" x14ac:dyDescent="0.3">
      <c r="A164" s="2" t="s">
        <v>54</v>
      </c>
      <c r="B164" s="2" t="s">
        <v>55</v>
      </c>
      <c r="C164" s="2" t="s">
        <v>105</v>
      </c>
      <c r="D164" s="2" t="s">
        <v>674</v>
      </c>
      <c r="E164" s="2" t="s">
        <v>674</v>
      </c>
      <c r="F164" s="2" t="s">
        <v>675</v>
      </c>
      <c r="G164" s="2" t="s">
        <v>60</v>
      </c>
      <c r="H164" s="2" t="s">
        <v>61</v>
      </c>
      <c r="I164" s="2" t="s">
        <v>62</v>
      </c>
      <c r="J164" s="2" t="s">
        <v>63</v>
      </c>
      <c r="K164" s="2" t="s">
        <v>768</v>
      </c>
      <c r="L164" s="2" t="s">
        <v>955</v>
      </c>
      <c r="M164" s="2">
        <v>1</v>
      </c>
      <c r="N164" s="2" t="s">
        <v>956</v>
      </c>
      <c r="O164" s="2" t="s">
        <v>957</v>
      </c>
      <c r="P164" s="2" t="s">
        <v>958</v>
      </c>
      <c r="Q164" s="2" t="s">
        <v>69</v>
      </c>
      <c r="R164" s="2" t="s">
        <v>70</v>
      </c>
      <c r="S164" s="2" t="s">
        <v>959</v>
      </c>
      <c r="T164" s="2" t="s">
        <v>960</v>
      </c>
      <c r="U164" s="2" t="s">
        <v>961</v>
      </c>
      <c r="V164" s="2" t="s">
        <v>960</v>
      </c>
      <c r="W164" s="2" t="s">
        <v>74</v>
      </c>
      <c r="X164" s="38">
        <v>163</v>
      </c>
      <c r="Y164" s="38">
        <v>72</v>
      </c>
      <c r="Z164" s="38">
        <v>91</v>
      </c>
      <c r="AA164" s="38">
        <v>143</v>
      </c>
      <c r="AB164" s="38">
        <v>59</v>
      </c>
      <c r="AC164" s="38">
        <v>84</v>
      </c>
      <c r="AD164" s="38">
        <v>9</v>
      </c>
      <c r="AE164" s="38">
        <v>7</v>
      </c>
      <c r="AF164" s="38">
        <v>2</v>
      </c>
      <c r="AG164" s="38">
        <v>0</v>
      </c>
      <c r="AH164" s="38">
        <v>0</v>
      </c>
      <c r="AI164" s="38">
        <v>0</v>
      </c>
      <c r="AJ164" s="38">
        <v>11</v>
      </c>
      <c r="AK164" s="37">
        <v>6.7484662576687118</v>
      </c>
      <c r="AL164" s="40">
        <f t="shared" si="8"/>
        <v>6</v>
      </c>
      <c r="AM164" s="37">
        <f t="shared" si="9"/>
        <v>8.3333333333333321</v>
      </c>
      <c r="AN164" s="40">
        <f t="shared" si="10"/>
        <v>5</v>
      </c>
      <c r="AO164" s="37">
        <f t="shared" si="11"/>
        <v>5.4945054945054945</v>
      </c>
      <c r="AP164" s="38">
        <v>141</v>
      </c>
      <c r="AQ164" s="38">
        <v>68</v>
      </c>
      <c r="AR164" s="38">
        <v>73</v>
      </c>
      <c r="AS164" s="38">
        <v>38</v>
      </c>
      <c r="AT164" s="38">
        <v>18</v>
      </c>
      <c r="AU164" s="38">
        <v>20</v>
      </c>
      <c r="AV164" s="38">
        <v>55</v>
      </c>
      <c r="AW164" s="38">
        <v>18</v>
      </c>
      <c r="AX164" s="38">
        <v>37</v>
      </c>
      <c r="AY164" s="38">
        <v>167</v>
      </c>
      <c r="AZ164" s="38">
        <v>75</v>
      </c>
      <c r="BA164" s="38">
        <v>92</v>
      </c>
      <c r="BB164" s="38">
        <v>9</v>
      </c>
      <c r="BC164" s="37">
        <v>5.3892215568862278</v>
      </c>
      <c r="BD164" s="40">
        <v>7</v>
      </c>
      <c r="BE164" s="37">
        <v>9.3333333333333339</v>
      </c>
      <c r="BF164" s="40">
        <v>2</v>
      </c>
      <c r="BG164" s="37">
        <v>2.1739130434782608</v>
      </c>
      <c r="BH164" s="38">
        <v>55</v>
      </c>
      <c r="BI164" s="38">
        <v>53</v>
      </c>
      <c r="BJ164" s="38">
        <v>18</v>
      </c>
      <c r="BK164" s="38">
        <v>35</v>
      </c>
      <c r="BL164" s="37">
        <v>103.77358490566037</v>
      </c>
      <c r="BM164" s="37">
        <v>100</v>
      </c>
      <c r="BN164" s="37">
        <v>105.71428571428572</v>
      </c>
      <c r="BO164" s="38">
        <v>56</v>
      </c>
      <c r="BP164" s="38">
        <v>22</v>
      </c>
      <c r="BQ164" s="38">
        <v>34</v>
      </c>
      <c r="BR164" s="37">
        <v>98.214285714285708</v>
      </c>
      <c r="BS164" s="37">
        <v>81.818181818181827</v>
      </c>
      <c r="BT164" s="37">
        <v>108.8235294117647</v>
      </c>
      <c r="BU164" s="2"/>
      <c r="BV164" s="2"/>
    </row>
    <row r="165" spans="1:74" ht="15.75" x14ac:dyDescent="0.3">
      <c r="A165" s="2" t="s">
        <v>54</v>
      </c>
      <c r="B165" s="2" t="s">
        <v>55</v>
      </c>
      <c r="C165" s="2" t="s">
        <v>105</v>
      </c>
      <c r="D165" s="2" t="s">
        <v>674</v>
      </c>
      <c r="E165" s="2" t="s">
        <v>674</v>
      </c>
      <c r="F165" s="2" t="s">
        <v>675</v>
      </c>
      <c r="G165" s="2" t="s">
        <v>60</v>
      </c>
      <c r="H165" s="2" t="s">
        <v>61</v>
      </c>
      <c r="I165" s="2" t="s">
        <v>62</v>
      </c>
      <c r="J165" s="2" t="s">
        <v>63</v>
      </c>
      <c r="K165" s="2" t="s">
        <v>159</v>
      </c>
      <c r="L165" s="2" t="s">
        <v>785</v>
      </c>
      <c r="M165" s="2">
        <v>231</v>
      </c>
      <c r="N165" s="2" t="s">
        <v>962</v>
      </c>
      <c r="O165" s="2" t="s">
        <v>963</v>
      </c>
      <c r="P165" s="2" t="s">
        <v>80</v>
      </c>
      <c r="Q165" s="2" t="s">
        <v>69</v>
      </c>
      <c r="R165" s="2" t="s">
        <v>70</v>
      </c>
      <c r="S165" s="2" t="s">
        <v>964</v>
      </c>
      <c r="T165" s="2" t="s">
        <v>965</v>
      </c>
      <c r="U165" s="2" t="s">
        <v>966</v>
      </c>
      <c r="V165" s="2" t="s">
        <v>965</v>
      </c>
      <c r="W165" s="2" t="s">
        <v>74</v>
      </c>
      <c r="X165" s="38">
        <v>42</v>
      </c>
      <c r="Y165" s="38">
        <v>25</v>
      </c>
      <c r="Z165" s="38">
        <v>17</v>
      </c>
      <c r="AA165" s="38">
        <v>17</v>
      </c>
      <c r="AB165" s="38">
        <v>11</v>
      </c>
      <c r="AC165" s="38">
        <v>6</v>
      </c>
      <c r="AD165" s="38">
        <v>5</v>
      </c>
      <c r="AE165" s="38">
        <v>2</v>
      </c>
      <c r="AF165" s="38">
        <v>3</v>
      </c>
      <c r="AG165" s="38">
        <v>0</v>
      </c>
      <c r="AH165" s="38">
        <v>0</v>
      </c>
      <c r="AI165" s="38">
        <v>0</v>
      </c>
      <c r="AJ165" s="38">
        <v>20</v>
      </c>
      <c r="AK165" s="37">
        <v>47.619047619047613</v>
      </c>
      <c r="AL165" s="40">
        <f t="shared" si="8"/>
        <v>12</v>
      </c>
      <c r="AM165" s="37">
        <f t="shared" si="9"/>
        <v>48</v>
      </c>
      <c r="AN165" s="40">
        <f t="shared" si="10"/>
        <v>8</v>
      </c>
      <c r="AO165" s="37">
        <f t="shared" si="11"/>
        <v>47.058823529411761</v>
      </c>
      <c r="AP165" s="38">
        <v>42</v>
      </c>
      <c r="AQ165" s="38">
        <v>21</v>
      </c>
      <c r="AR165" s="38">
        <v>21</v>
      </c>
      <c r="AS165" s="38">
        <v>13</v>
      </c>
      <c r="AT165" s="38">
        <v>5</v>
      </c>
      <c r="AU165" s="38">
        <v>8</v>
      </c>
      <c r="AV165" s="38">
        <v>4</v>
      </c>
      <c r="AW165" s="38">
        <v>3</v>
      </c>
      <c r="AX165" s="38">
        <v>1</v>
      </c>
      <c r="AY165" s="38">
        <v>44</v>
      </c>
      <c r="AZ165" s="38">
        <v>26</v>
      </c>
      <c r="BA165" s="38">
        <v>18</v>
      </c>
      <c r="BB165" s="38">
        <v>11</v>
      </c>
      <c r="BC165" s="37">
        <v>25</v>
      </c>
      <c r="BD165" s="40">
        <v>7</v>
      </c>
      <c r="BE165" s="37">
        <v>26.923076923076923</v>
      </c>
      <c r="BF165" s="40">
        <v>4</v>
      </c>
      <c r="BG165" s="37">
        <v>22.222222222222221</v>
      </c>
      <c r="BH165" s="38">
        <v>4</v>
      </c>
      <c r="BI165" s="38">
        <v>13</v>
      </c>
      <c r="BJ165" s="38">
        <v>8</v>
      </c>
      <c r="BK165" s="38">
        <v>5</v>
      </c>
      <c r="BL165" s="37">
        <v>30.76923076923077</v>
      </c>
      <c r="BM165" s="37">
        <v>37.5</v>
      </c>
      <c r="BN165" s="37">
        <v>20</v>
      </c>
      <c r="BO165" s="38">
        <v>15</v>
      </c>
      <c r="BP165" s="38">
        <v>11</v>
      </c>
      <c r="BQ165" s="38">
        <v>4</v>
      </c>
      <c r="BR165" s="37">
        <v>26.666666666666668</v>
      </c>
      <c r="BS165" s="37">
        <v>27.27272727272727</v>
      </c>
      <c r="BT165" s="37">
        <v>25</v>
      </c>
      <c r="BU165" s="2"/>
      <c r="BV165" s="2"/>
    </row>
    <row r="166" spans="1:74" ht="15.75" x14ac:dyDescent="0.3">
      <c r="A166" s="2" t="s">
        <v>54</v>
      </c>
      <c r="B166" s="2" t="s">
        <v>55</v>
      </c>
      <c r="C166" s="2" t="s">
        <v>105</v>
      </c>
      <c r="D166" s="2" t="s">
        <v>674</v>
      </c>
      <c r="E166" s="2" t="s">
        <v>674</v>
      </c>
      <c r="F166" s="2" t="s">
        <v>675</v>
      </c>
      <c r="G166" s="2" t="s">
        <v>186</v>
      </c>
      <c r="H166" s="2" t="s">
        <v>61</v>
      </c>
      <c r="I166" s="2" t="s">
        <v>62</v>
      </c>
      <c r="J166" s="2" t="s">
        <v>967</v>
      </c>
      <c r="K166" s="2" t="s">
        <v>968</v>
      </c>
      <c r="L166" s="2" t="s">
        <v>969</v>
      </c>
      <c r="M166" s="2">
        <v>33982</v>
      </c>
      <c r="N166" s="2" t="s">
        <v>970</v>
      </c>
      <c r="O166" s="2" t="s">
        <v>971</v>
      </c>
      <c r="P166" s="2" t="s">
        <v>972</v>
      </c>
      <c r="Q166" s="2" t="s">
        <v>69</v>
      </c>
      <c r="R166" s="2" t="s">
        <v>70</v>
      </c>
      <c r="S166" s="2" t="s">
        <v>973</v>
      </c>
      <c r="T166" s="2" t="s">
        <v>974</v>
      </c>
      <c r="U166" s="2" t="s">
        <v>975</v>
      </c>
      <c r="V166" s="2" t="s">
        <v>974</v>
      </c>
      <c r="W166" s="2" t="s">
        <v>74</v>
      </c>
      <c r="X166" s="38">
        <v>137</v>
      </c>
      <c r="Y166" s="38">
        <v>63</v>
      </c>
      <c r="Z166" s="38">
        <v>74</v>
      </c>
      <c r="AA166" s="38">
        <v>98</v>
      </c>
      <c r="AB166" s="38">
        <v>37</v>
      </c>
      <c r="AC166" s="38">
        <v>61</v>
      </c>
      <c r="AD166" s="38">
        <v>11</v>
      </c>
      <c r="AE166" s="38">
        <v>6</v>
      </c>
      <c r="AF166" s="38">
        <v>5</v>
      </c>
      <c r="AG166" s="38">
        <v>0</v>
      </c>
      <c r="AH166" s="38">
        <v>0</v>
      </c>
      <c r="AI166" s="38">
        <v>0</v>
      </c>
      <c r="AJ166" s="38">
        <v>28</v>
      </c>
      <c r="AK166" s="37">
        <v>20.437956204379564</v>
      </c>
      <c r="AL166" s="40">
        <f t="shared" si="8"/>
        <v>20</v>
      </c>
      <c r="AM166" s="37">
        <f t="shared" si="9"/>
        <v>31.746031746031743</v>
      </c>
      <c r="AN166" s="40">
        <f t="shared" si="10"/>
        <v>8</v>
      </c>
      <c r="AO166" s="37">
        <f t="shared" si="11"/>
        <v>10.810810810810811</v>
      </c>
      <c r="AP166" s="38">
        <v>155</v>
      </c>
      <c r="AQ166" s="38">
        <v>74</v>
      </c>
      <c r="AR166" s="38">
        <v>81</v>
      </c>
      <c r="AS166" s="38">
        <v>62</v>
      </c>
      <c r="AT166" s="38">
        <v>26</v>
      </c>
      <c r="AU166" s="38">
        <v>36</v>
      </c>
      <c r="AV166" s="38">
        <v>48</v>
      </c>
      <c r="AW166" s="38">
        <v>18</v>
      </c>
      <c r="AX166" s="38">
        <v>30</v>
      </c>
      <c r="AY166" s="38">
        <v>134</v>
      </c>
      <c r="AZ166" s="38">
        <v>61</v>
      </c>
      <c r="BA166" s="38">
        <v>73</v>
      </c>
      <c r="BB166" s="38">
        <v>-7</v>
      </c>
      <c r="BC166" s="37">
        <v>-5.2238805970149249</v>
      </c>
      <c r="BD166" s="40">
        <v>-5</v>
      </c>
      <c r="BE166" s="37">
        <v>-8.1967213114754092</v>
      </c>
      <c r="BF166" s="40">
        <v>-2</v>
      </c>
      <c r="BG166" s="37">
        <v>-2.7397260273972601</v>
      </c>
      <c r="BH166" s="38">
        <v>48</v>
      </c>
      <c r="BI166" s="38">
        <v>49</v>
      </c>
      <c r="BJ166" s="38">
        <v>19</v>
      </c>
      <c r="BK166" s="38">
        <v>30</v>
      </c>
      <c r="BL166" s="37">
        <v>97.959183673469383</v>
      </c>
      <c r="BM166" s="37">
        <v>94.73684210526315</v>
      </c>
      <c r="BN166" s="37">
        <v>100</v>
      </c>
      <c r="BO166" s="38">
        <v>62</v>
      </c>
      <c r="BP166" s="38">
        <v>29</v>
      </c>
      <c r="BQ166" s="38">
        <v>33</v>
      </c>
      <c r="BR166" s="37">
        <v>77.41935483870968</v>
      </c>
      <c r="BS166" s="37">
        <v>62.068965517241381</v>
      </c>
      <c r="BT166" s="37">
        <v>90.909090909090907</v>
      </c>
      <c r="BU166" s="2"/>
      <c r="BV166" s="2"/>
    </row>
    <row r="167" spans="1:74" ht="15.75" x14ac:dyDescent="0.3">
      <c r="A167" s="2" t="s">
        <v>54</v>
      </c>
      <c r="B167" s="2" t="s">
        <v>55</v>
      </c>
      <c r="C167" s="2" t="s">
        <v>56</v>
      </c>
      <c r="D167" s="2" t="s">
        <v>674</v>
      </c>
      <c r="E167" s="2" t="s">
        <v>674</v>
      </c>
      <c r="F167" s="2" t="s">
        <v>675</v>
      </c>
      <c r="G167" s="2" t="s">
        <v>60</v>
      </c>
      <c r="H167" s="2" t="s">
        <v>61</v>
      </c>
      <c r="I167" s="2" t="s">
        <v>62</v>
      </c>
      <c r="J167" s="2" t="s">
        <v>63</v>
      </c>
      <c r="K167" s="2" t="s">
        <v>705</v>
      </c>
      <c r="L167" s="2" t="s">
        <v>976</v>
      </c>
      <c r="M167" s="2">
        <v>264</v>
      </c>
      <c r="N167" s="2" t="s">
        <v>977</v>
      </c>
      <c r="O167" s="2" t="s">
        <v>978</v>
      </c>
      <c r="P167" s="2" t="s">
        <v>80</v>
      </c>
      <c r="Q167" s="2" t="s">
        <v>69</v>
      </c>
      <c r="R167" s="2" t="s">
        <v>70</v>
      </c>
      <c r="S167" s="2" t="s">
        <v>979</v>
      </c>
      <c r="T167" s="2" t="s">
        <v>980</v>
      </c>
      <c r="U167" s="2" t="s">
        <v>981</v>
      </c>
      <c r="V167" s="2" t="s">
        <v>980</v>
      </c>
      <c r="W167" s="2" t="s">
        <v>84</v>
      </c>
      <c r="X167" s="38">
        <v>11</v>
      </c>
      <c r="Y167" s="38">
        <v>10</v>
      </c>
      <c r="Z167" s="38">
        <v>1</v>
      </c>
      <c r="AA167" s="38">
        <v>11</v>
      </c>
      <c r="AB167" s="38">
        <v>10</v>
      </c>
      <c r="AC167" s="38">
        <v>1</v>
      </c>
      <c r="AD167" s="38">
        <v>0</v>
      </c>
      <c r="AE167" s="38">
        <v>0</v>
      </c>
      <c r="AF167" s="38">
        <v>0</v>
      </c>
      <c r="AG167" s="38">
        <v>0</v>
      </c>
      <c r="AH167" s="38">
        <v>0</v>
      </c>
      <c r="AI167" s="38">
        <v>0</v>
      </c>
      <c r="AJ167" s="38">
        <v>0</v>
      </c>
      <c r="AK167" s="37">
        <v>0</v>
      </c>
      <c r="AL167" s="40">
        <f t="shared" si="8"/>
        <v>0</v>
      </c>
      <c r="AM167" s="37">
        <f t="shared" si="9"/>
        <v>0</v>
      </c>
      <c r="AN167" s="40">
        <f t="shared" si="10"/>
        <v>0</v>
      </c>
      <c r="AO167" s="37">
        <f t="shared" si="11"/>
        <v>0</v>
      </c>
      <c r="AP167" s="38">
        <v>11</v>
      </c>
      <c r="AQ167" s="38">
        <v>8</v>
      </c>
      <c r="AR167" s="38">
        <v>3</v>
      </c>
      <c r="AS167" s="38">
        <v>4</v>
      </c>
      <c r="AT167" s="38">
        <v>2</v>
      </c>
      <c r="AU167" s="38">
        <v>2</v>
      </c>
      <c r="AV167" s="38">
        <v>5</v>
      </c>
      <c r="AW167" s="38">
        <v>5</v>
      </c>
      <c r="AX167" s="38">
        <v>0</v>
      </c>
      <c r="AY167" s="38">
        <v>4</v>
      </c>
      <c r="AZ167" s="38">
        <v>3</v>
      </c>
      <c r="BA167" s="38">
        <v>1</v>
      </c>
      <c r="BB167" s="38">
        <v>-8</v>
      </c>
      <c r="BC167" s="37">
        <v>-200</v>
      </c>
      <c r="BD167" s="40">
        <v>-8</v>
      </c>
      <c r="BE167" s="37">
        <v>-266.66666666666663</v>
      </c>
      <c r="BF167" s="40">
        <v>0</v>
      </c>
      <c r="BG167" s="37">
        <v>0</v>
      </c>
      <c r="BH167" s="38">
        <v>5</v>
      </c>
      <c r="BI167" s="38">
        <v>2</v>
      </c>
      <c r="BJ167" s="38">
        <v>2</v>
      </c>
      <c r="BK167" s="38">
        <v>0</v>
      </c>
      <c r="BL167" s="37">
        <v>250</v>
      </c>
      <c r="BM167" s="37">
        <v>250</v>
      </c>
      <c r="BN167" s="37" t="e">
        <v>#DIV/0!</v>
      </c>
      <c r="BO167" s="38">
        <v>2</v>
      </c>
      <c r="BP167" s="38">
        <v>2</v>
      </c>
      <c r="BQ167" s="38">
        <v>0</v>
      </c>
      <c r="BR167" s="37">
        <v>250</v>
      </c>
      <c r="BS167" s="37">
        <v>250</v>
      </c>
      <c r="BT167" s="37" t="s">
        <v>1860</v>
      </c>
      <c r="BU167" s="2"/>
      <c r="BV167" s="2"/>
    </row>
    <row r="168" spans="1:74" ht="15.75" x14ac:dyDescent="0.3">
      <c r="A168" s="2" t="s">
        <v>54</v>
      </c>
      <c r="B168" s="2" t="s">
        <v>55</v>
      </c>
      <c r="C168" s="2" t="s">
        <v>56</v>
      </c>
      <c r="D168" s="2" t="s">
        <v>674</v>
      </c>
      <c r="E168" s="2" t="s">
        <v>674</v>
      </c>
      <c r="F168" s="2" t="s">
        <v>675</v>
      </c>
      <c r="G168" s="2" t="s">
        <v>60</v>
      </c>
      <c r="H168" s="2" t="s">
        <v>61</v>
      </c>
      <c r="I168" s="2" t="s">
        <v>62</v>
      </c>
      <c r="J168" s="2" t="s">
        <v>63</v>
      </c>
      <c r="K168" s="2" t="s">
        <v>454</v>
      </c>
      <c r="L168" s="2" t="s">
        <v>982</v>
      </c>
      <c r="M168" s="2">
        <v>155</v>
      </c>
      <c r="N168" s="2" t="s">
        <v>983</v>
      </c>
      <c r="O168" s="2" t="s">
        <v>984</v>
      </c>
      <c r="P168" s="2" t="s">
        <v>780</v>
      </c>
      <c r="Q168" s="2" t="s">
        <v>69</v>
      </c>
      <c r="R168" s="2" t="s">
        <v>70</v>
      </c>
      <c r="S168" s="2" t="s">
        <v>985</v>
      </c>
      <c r="T168" s="2" t="s">
        <v>986</v>
      </c>
      <c r="U168" s="2" t="s">
        <v>987</v>
      </c>
      <c r="V168" s="2" t="s">
        <v>986</v>
      </c>
      <c r="W168" s="2" t="s">
        <v>74</v>
      </c>
      <c r="X168" s="38">
        <v>72</v>
      </c>
      <c r="Y168" s="38">
        <v>41</v>
      </c>
      <c r="Z168" s="38">
        <v>31</v>
      </c>
      <c r="AA168" s="38">
        <v>45</v>
      </c>
      <c r="AB168" s="38">
        <v>27</v>
      </c>
      <c r="AC168" s="38">
        <v>18</v>
      </c>
      <c r="AD168" s="38">
        <v>0</v>
      </c>
      <c r="AE168" s="38">
        <v>0</v>
      </c>
      <c r="AF168" s="38">
        <v>0</v>
      </c>
      <c r="AG168" s="38">
        <v>0</v>
      </c>
      <c r="AH168" s="38">
        <v>0</v>
      </c>
      <c r="AI168" s="38">
        <v>0</v>
      </c>
      <c r="AJ168" s="38">
        <v>27</v>
      </c>
      <c r="AK168" s="37">
        <v>37.5</v>
      </c>
      <c r="AL168" s="40">
        <f t="shared" si="8"/>
        <v>14</v>
      </c>
      <c r="AM168" s="37">
        <f t="shared" si="9"/>
        <v>34.146341463414636</v>
      </c>
      <c r="AN168" s="40">
        <f t="shared" si="10"/>
        <v>13</v>
      </c>
      <c r="AO168" s="37">
        <f t="shared" si="11"/>
        <v>41.935483870967744</v>
      </c>
      <c r="AP168" s="38">
        <v>91</v>
      </c>
      <c r="AQ168" s="38">
        <v>42</v>
      </c>
      <c r="AR168" s="38">
        <v>49</v>
      </c>
      <c r="AS168" s="38">
        <v>25</v>
      </c>
      <c r="AT168" s="38">
        <v>13</v>
      </c>
      <c r="AU168" s="38">
        <v>12</v>
      </c>
      <c r="AV168" s="38">
        <v>25</v>
      </c>
      <c r="AW168" s="38">
        <v>15</v>
      </c>
      <c r="AX168" s="38">
        <v>10</v>
      </c>
      <c r="AY168" s="38">
        <v>91</v>
      </c>
      <c r="AZ168" s="38">
        <v>42</v>
      </c>
      <c r="BA168" s="38">
        <v>49</v>
      </c>
      <c r="BB168" s="38">
        <v>0</v>
      </c>
      <c r="BC168" s="37">
        <v>0</v>
      </c>
      <c r="BD168" s="40">
        <v>-2</v>
      </c>
      <c r="BE168" s="37">
        <v>-4.7619047619047619</v>
      </c>
      <c r="BF168" s="40">
        <v>2</v>
      </c>
      <c r="BG168" s="37">
        <v>4.0816326530612246</v>
      </c>
      <c r="BH168" s="38">
        <v>25</v>
      </c>
      <c r="BI168" s="38">
        <v>39</v>
      </c>
      <c r="BJ168" s="38">
        <v>20</v>
      </c>
      <c r="BK168" s="38">
        <v>19</v>
      </c>
      <c r="BL168" s="37">
        <v>64.102564102564102</v>
      </c>
      <c r="BM168" s="37">
        <v>75</v>
      </c>
      <c r="BN168" s="37">
        <v>52.631578947368418</v>
      </c>
      <c r="BO168" s="38">
        <v>25</v>
      </c>
      <c r="BP168" s="38">
        <v>13</v>
      </c>
      <c r="BQ168" s="38">
        <v>12</v>
      </c>
      <c r="BR168" s="37">
        <v>100</v>
      </c>
      <c r="BS168" s="37">
        <v>115.38461538461537</v>
      </c>
      <c r="BT168" s="37">
        <v>83.333333333333343</v>
      </c>
      <c r="BU168" s="2"/>
      <c r="BV168" s="2"/>
    </row>
    <row r="169" spans="1:74" ht="15.75" x14ac:dyDescent="0.3">
      <c r="A169" s="2" t="s">
        <v>54</v>
      </c>
      <c r="B169" s="2" t="s">
        <v>55</v>
      </c>
      <c r="C169" s="2" t="s">
        <v>105</v>
      </c>
      <c r="D169" s="2" t="s">
        <v>674</v>
      </c>
      <c r="E169" s="2" t="s">
        <v>674</v>
      </c>
      <c r="F169" s="2" t="s">
        <v>675</v>
      </c>
      <c r="G169" s="2" t="s">
        <v>60</v>
      </c>
      <c r="H169" s="2" t="s">
        <v>61</v>
      </c>
      <c r="I169" s="2" t="s">
        <v>62</v>
      </c>
      <c r="J169" s="2" t="s">
        <v>63</v>
      </c>
      <c r="K169" s="2" t="s">
        <v>988</v>
      </c>
      <c r="L169" s="2" t="s">
        <v>989</v>
      </c>
      <c r="M169" s="2">
        <v>1701</v>
      </c>
      <c r="N169" s="2" t="s">
        <v>990</v>
      </c>
      <c r="O169" s="2" t="s">
        <v>991</v>
      </c>
      <c r="P169" s="2" t="s">
        <v>80</v>
      </c>
      <c r="Q169" s="2" t="s">
        <v>69</v>
      </c>
      <c r="R169" s="2" t="s">
        <v>70</v>
      </c>
      <c r="S169" s="2" t="s">
        <v>992</v>
      </c>
      <c r="T169" s="2" t="s">
        <v>993</v>
      </c>
      <c r="U169" s="2" t="s">
        <v>994</v>
      </c>
      <c r="V169" s="2" t="s">
        <v>993</v>
      </c>
      <c r="W169" s="2" t="s">
        <v>74</v>
      </c>
      <c r="X169" s="38">
        <v>131</v>
      </c>
      <c r="Y169" s="38">
        <v>62</v>
      </c>
      <c r="Z169" s="38">
        <v>69</v>
      </c>
      <c r="AA169" s="38">
        <v>50</v>
      </c>
      <c r="AB169" s="38">
        <v>24</v>
      </c>
      <c r="AC169" s="38">
        <v>26</v>
      </c>
      <c r="AD169" s="38">
        <v>5</v>
      </c>
      <c r="AE169" s="38">
        <v>3</v>
      </c>
      <c r="AF169" s="38">
        <v>2</v>
      </c>
      <c r="AG169" s="38">
        <v>0</v>
      </c>
      <c r="AH169" s="38">
        <v>0</v>
      </c>
      <c r="AI169" s="38">
        <v>0</v>
      </c>
      <c r="AJ169" s="38">
        <v>76</v>
      </c>
      <c r="AK169" s="37">
        <v>58.015267175572518</v>
      </c>
      <c r="AL169" s="40">
        <f t="shared" si="8"/>
        <v>35</v>
      </c>
      <c r="AM169" s="37">
        <f t="shared" si="9"/>
        <v>56.451612903225815</v>
      </c>
      <c r="AN169" s="40">
        <f t="shared" si="10"/>
        <v>41</v>
      </c>
      <c r="AO169" s="37">
        <f t="shared" si="11"/>
        <v>59.420289855072461</v>
      </c>
      <c r="AP169" s="38">
        <v>135</v>
      </c>
      <c r="AQ169" s="38">
        <v>66</v>
      </c>
      <c r="AR169" s="38">
        <v>69</v>
      </c>
      <c r="AS169" s="38">
        <v>51</v>
      </c>
      <c r="AT169" s="38">
        <v>25</v>
      </c>
      <c r="AU169" s="38">
        <v>26</v>
      </c>
      <c r="AV169" s="38">
        <v>29</v>
      </c>
      <c r="AW169" s="38">
        <v>18</v>
      </c>
      <c r="AX169" s="38">
        <v>11</v>
      </c>
      <c r="AY169" s="38">
        <v>129</v>
      </c>
      <c r="AZ169" s="38">
        <v>69</v>
      </c>
      <c r="BA169" s="38">
        <v>60</v>
      </c>
      <c r="BB169" s="38">
        <v>16</v>
      </c>
      <c r="BC169" s="37">
        <v>12.403100775193799</v>
      </c>
      <c r="BD169" s="40">
        <v>10</v>
      </c>
      <c r="BE169" s="37">
        <v>14.492753623188406</v>
      </c>
      <c r="BF169" s="40">
        <v>6</v>
      </c>
      <c r="BG169" s="37">
        <v>10</v>
      </c>
      <c r="BH169" s="38">
        <v>29</v>
      </c>
      <c r="BI169" s="38">
        <v>67</v>
      </c>
      <c r="BJ169" s="38">
        <v>35</v>
      </c>
      <c r="BK169" s="38">
        <v>32</v>
      </c>
      <c r="BL169" s="37">
        <v>43.283582089552233</v>
      </c>
      <c r="BM169" s="37">
        <v>51.428571428571423</v>
      </c>
      <c r="BN169" s="37">
        <v>34.375</v>
      </c>
      <c r="BO169" s="38">
        <v>49</v>
      </c>
      <c r="BP169" s="38">
        <v>23</v>
      </c>
      <c r="BQ169" s="38">
        <v>26</v>
      </c>
      <c r="BR169" s="37">
        <v>59.183673469387756</v>
      </c>
      <c r="BS169" s="37">
        <v>78.260869565217391</v>
      </c>
      <c r="BT169" s="37">
        <v>42.307692307692307</v>
      </c>
      <c r="BU169" s="2"/>
      <c r="BV169" s="2"/>
    </row>
    <row r="170" spans="1:74" ht="15.75" x14ac:dyDescent="0.3">
      <c r="A170" s="2" t="s">
        <v>54</v>
      </c>
      <c r="B170" s="2" t="s">
        <v>55</v>
      </c>
      <c r="C170" s="2" t="s">
        <v>105</v>
      </c>
      <c r="D170" s="2" t="s">
        <v>674</v>
      </c>
      <c r="E170" s="2" t="s">
        <v>674</v>
      </c>
      <c r="F170" s="2" t="s">
        <v>675</v>
      </c>
      <c r="G170" s="2" t="s">
        <v>60</v>
      </c>
      <c r="H170" s="2" t="s">
        <v>61</v>
      </c>
      <c r="I170" s="2" t="s">
        <v>62</v>
      </c>
      <c r="J170" s="2" t="s">
        <v>63</v>
      </c>
      <c r="K170" s="2" t="s">
        <v>988</v>
      </c>
      <c r="L170" s="2" t="s">
        <v>989</v>
      </c>
      <c r="M170" s="2">
        <v>1701</v>
      </c>
      <c r="N170" s="2" t="s">
        <v>990</v>
      </c>
      <c r="O170" s="2" t="s">
        <v>991</v>
      </c>
      <c r="P170" s="2" t="s">
        <v>80</v>
      </c>
      <c r="Q170" s="2" t="s">
        <v>69</v>
      </c>
      <c r="R170" s="2" t="s">
        <v>70</v>
      </c>
      <c r="S170" s="2" t="s">
        <v>992</v>
      </c>
      <c r="T170" s="2" t="s">
        <v>993</v>
      </c>
      <c r="U170" s="2" t="s">
        <v>994</v>
      </c>
      <c r="V170" s="2" t="s">
        <v>993</v>
      </c>
      <c r="W170" s="2" t="s">
        <v>995</v>
      </c>
      <c r="X170" s="38">
        <v>53</v>
      </c>
      <c r="Y170" s="38">
        <v>24</v>
      </c>
      <c r="Z170" s="38">
        <v>29</v>
      </c>
      <c r="AA170" s="38">
        <v>30</v>
      </c>
      <c r="AB170" s="38">
        <v>8</v>
      </c>
      <c r="AC170" s="38">
        <v>22</v>
      </c>
      <c r="AD170" s="38">
        <v>2</v>
      </c>
      <c r="AE170" s="38">
        <v>2</v>
      </c>
      <c r="AF170" s="38">
        <v>0</v>
      </c>
      <c r="AG170" s="38">
        <v>0</v>
      </c>
      <c r="AH170" s="38">
        <v>0</v>
      </c>
      <c r="AI170" s="38">
        <v>0</v>
      </c>
      <c r="AJ170" s="38">
        <v>21</v>
      </c>
      <c r="AK170" s="37">
        <v>39.622641509433961</v>
      </c>
      <c r="AL170" s="40">
        <f t="shared" si="8"/>
        <v>14</v>
      </c>
      <c r="AM170" s="37">
        <f t="shared" si="9"/>
        <v>58.333333333333336</v>
      </c>
      <c r="AN170" s="40">
        <f t="shared" si="10"/>
        <v>7</v>
      </c>
      <c r="AO170" s="37">
        <f t="shared" si="11"/>
        <v>24.137931034482758</v>
      </c>
      <c r="AP170" s="38">
        <v>75</v>
      </c>
      <c r="AQ170" s="38">
        <v>36</v>
      </c>
      <c r="AR170" s="38">
        <v>39</v>
      </c>
      <c r="AS170" s="38">
        <v>44</v>
      </c>
      <c r="AT170" s="38">
        <v>25</v>
      </c>
      <c r="AU170" s="38">
        <v>19</v>
      </c>
      <c r="AV170" s="38">
        <v>14</v>
      </c>
      <c r="AW170" s="38">
        <v>6</v>
      </c>
      <c r="AX170" s="38">
        <v>8</v>
      </c>
      <c r="AY170" s="38">
        <v>46</v>
      </c>
      <c r="AZ170" s="38">
        <v>21</v>
      </c>
      <c r="BA170" s="38">
        <v>25</v>
      </c>
      <c r="BB170" s="38">
        <v>1</v>
      </c>
      <c r="BC170" s="37">
        <v>2.1739130434782608</v>
      </c>
      <c r="BD170" s="40">
        <v>4</v>
      </c>
      <c r="BE170" s="37">
        <v>19.047619047619047</v>
      </c>
      <c r="BF170" s="40">
        <v>-3</v>
      </c>
      <c r="BG170" s="37">
        <v>-12</v>
      </c>
      <c r="BH170" s="38">
        <v>14</v>
      </c>
      <c r="BI170" s="38">
        <v>22</v>
      </c>
      <c r="BJ170" s="38">
        <v>11</v>
      </c>
      <c r="BK170" s="38">
        <v>11</v>
      </c>
      <c r="BL170" s="37">
        <v>63.636363636363633</v>
      </c>
      <c r="BM170" s="37">
        <v>54.54545454545454</v>
      </c>
      <c r="BN170" s="37">
        <v>72.727272727272734</v>
      </c>
      <c r="BO170" s="38">
        <v>0</v>
      </c>
      <c r="BP170" s="38">
        <v>0</v>
      </c>
      <c r="BQ170" s="38">
        <v>0</v>
      </c>
      <c r="BR170" s="37" t="s">
        <v>1860</v>
      </c>
      <c r="BS170" s="37" t="s">
        <v>1860</v>
      </c>
      <c r="BT170" s="37" t="s">
        <v>1860</v>
      </c>
      <c r="BU170" s="2"/>
      <c r="BV170" s="2"/>
    </row>
    <row r="171" spans="1:74" ht="15.75" x14ac:dyDescent="0.3">
      <c r="A171" s="2" t="s">
        <v>54</v>
      </c>
      <c r="B171" s="2" t="s">
        <v>55</v>
      </c>
      <c r="C171" s="2" t="s">
        <v>105</v>
      </c>
      <c r="D171" s="2" t="s">
        <v>674</v>
      </c>
      <c r="E171" s="2" t="s">
        <v>674</v>
      </c>
      <c r="F171" s="2" t="s">
        <v>675</v>
      </c>
      <c r="G171" s="2" t="s">
        <v>60</v>
      </c>
      <c r="H171" s="2" t="s">
        <v>61</v>
      </c>
      <c r="I171" s="2" t="s">
        <v>62</v>
      </c>
      <c r="J171" s="2" t="s">
        <v>63</v>
      </c>
      <c r="K171" s="2" t="s">
        <v>988</v>
      </c>
      <c r="L171" s="2" t="s">
        <v>989</v>
      </c>
      <c r="M171" s="2">
        <v>1701</v>
      </c>
      <c r="N171" s="2" t="s">
        <v>990</v>
      </c>
      <c r="O171" s="2" t="s">
        <v>991</v>
      </c>
      <c r="P171" s="2" t="s">
        <v>80</v>
      </c>
      <c r="Q171" s="2" t="s">
        <v>69</v>
      </c>
      <c r="R171" s="2" t="s">
        <v>70</v>
      </c>
      <c r="S171" s="2" t="s">
        <v>992</v>
      </c>
      <c r="T171" s="2" t="s">
        <v>993</v>
      </c>
      <c r="U171" s="2" t="s">
        <v>994</v>
      </c>
      <c r="V171" s="2" t="s">
        <v>993</v>
      </c>
      <c r="W171" s="2" t="s">
        <v>113</v>
      </c>
      <c r="X171" s="38">
        <v>87</v>
      </c>
      <c r="Y171" s="38">
        <v>46</v>
      </c>
      <c r="Z171" s="38">
        <v>41</v>
      </c>
      <c r="AA171" s="38">
        <v>56</v>
      </c>
      <c r="AB171" s="38">
        <v>22</v>
      </c>
      <c r="AC171" s="38">
        <v>34</v>
      </c>
      <c r="AD171" s="38">
        <v>1</v>
      </c>
      <c r="AE171" s="38">
        <v>1</v>
      </c>
      <c r="AF171" s="38">
        <v>0</v>
      </c>
      <c r="AG171" s="38">
        <v>0</v>
      </c>
      <c r="AH171" s="38">
        <v>0</v>
      </c>
      <c r="AI171" s="38">
        <v>0</v>
      </c>
      <c r="AJ171" s="38">
        <v>30</v>
      </c>
      <c r="AK171" s="37">
        <v>34.482758620689658</v>
      </c>
      <c r="AL171" s="40">
        <f t="shared" si="8"/>
        <v>23</v>
      </c>
      <c r="AM171" s="37">
        <f t="shared" si="9"/>
        <v>50</v>
      </c>
      <c r="AN171" s="40">
        <f t="shared" si="10"/>
        <v>7</v>
      </c>
      <c r="AO171" s="37">
        <f t="shared" si="11"/>
        <v>17.073170731707318</v>
      </c>
      <c r="AP171" s="38">
        <v>115</v>
      </c>
      <c r="AQ171" s="38">
        <v>54</v>
      </c>
      <c r="AR171" s="38">
        <v>61</v>
      </c>
      <c r="AS171" s="38">
        <v>25</v>
      </c>
      <c r="AT171" s="38">
        <v>11</v>
      </c>
      <c r="AU171" s="38">
        <v>14</v>
      </c>
      <c r="AV171" s="38">
        <v>22</v>
      </c>
      <c r="AW171" s="38">
        <v>10</v>
      </c>
      <c r="AX171" s="38">
        <v>12</v>
      </c>
      <c r="AY171" s="38">
        <v>77</v>
      </c>
      <c r="AZ171" s="38">
        <v>30</v>
      </c>
      <c r="BA171" s="38">
        <v>47</v>
      </c>
      <c r="BB171" s="38">
        <v>-35</v>
      </c>
      <c r="BC171" s="37">
        <v>-45.454545454545453</v>
      </c>
      <c r="BD171" s="40">
        <v>-23</v>
      </c>
      <c r="BE171" s="37">
        <v>-76.666666666666671</v>
      </c>
      <c r="BF171" s="40">
        <v>-12</v>
      </c>
      <c r="BG171" s="37">
        <v>-25.531914893617021</v>
      </c>
      <c r="BH171" s="38">
        <v>22</v>
      </c>
      <c r="BI171" s="38">
        <v>30</v>
      </c>
      <c r="BJ171" s="38">
        <v>11</v>
      </c>
      <c r="BK171" s="38">
        <v>19</v>
      </c>
      <c r="BL171" s="37">
        <v>73.333333333333329</v>
      </c>
      <c r="BM171" s="37">
        <v>90.909090909090907</v>
      </c>
      <c r="BN171" s="37">
        <v>63.157894736842103</v>
      </c>
      <c r="BO171" s="38">
        <v>20</v>
      </c>
      <c r="BP171" s="38">
        <v>10</v>
      </c>
      <c r="BQ171" s="38">
        <v>10</v>
      </c>
      <c r="BR171" s="37">
        <v>110.00000000000001</v>
      </c>
      <c r="BS171" s="37">
        <v>100</v>
      </c>
      <c r="BT171" s="37">
        <v>120</v>
      </c>
      <c r="BU171" s="2"/>
      <c r="BV171" s="2"/>
    </row>
    <row r="172" spans="1:74" ht="15.75" x14ac:dyDescent="0.3">
      <c r="A172" s="2" t="s">
        <v>54</v>
      </c>
      <c r="B172" s="2" t="s">
        <v>55</v>
      </c>
      <c r="C172" s="2" t="s">
        <v>105</v>
      </c>
      <c r="D172" s="2" t="s">
        <v>674</v>
      </c>
      <c r="E172" s="2" t="s">
        <v>674</v>
      </c>
      <c r="F172" s="2" t="s">
        <v>675</v>
      </c>
      <c r="G172" s="2" t="s">
        <v>60</v>
      </c>
      <c r="H172" s="2" t="s">
        <v>61</v>
      </c>
      <c r="I172" s="2" t="s">
        <v>62</v>
      </c>
      <c r="J172" s="2" t="s">
        <v>63</v>
      </c>
      <c r="K172" s="2" t="s">
        <v>996</v>
      </c>
      <c r="L172" s="2" t="s">
        <v>997</v>
      </c>
      <c r="M172" s="2">
        <v>1</v>
      </c>
      <c r="N172" s="2" t="s">
        <v>998</v>
      </c>
      <c r="O172" s="2" t="s">
        <v>999</v>
      </c>
      <c r="P172" s="2" t="s">
        <v>735</v>
      </c>
      <c r="Q172" s="2" t="s">
        <v>69</v>
      </c>
      <c r="R172" s="2" t="s">
        <v>70</v>
      </c>
      <c r="S172" s="2" t="s">
        <v>1000</v>
      </c>
      <c r="T172" s="2" t="s">
        <v>1001</v>
      </c>
      <c r="U172" s="2" t="s">
        <v>1002</v>
      </c>
      <c r="V172" s="2" t="s">
        <v>1001</v>
      </c>
      <c r="W172" s="2" t="s">
        <v>74</v>
      </c>
      <c r="X172" s="38">
        <v>158</v>
      </c>
      <c r="Y172" s="38">
        <v>89</v>
      </c>
      <c r="Z172" s="38">
        <v>69</v>
      </c>
      <c r="AA172" s="38">
        <v>126</v>
      </c>
      <c r="AB172" s="38">
        <v>66</v>
      </c>
      <c r="AC172" s="38">
        <v>60</v>
      </c>
      <c r="AD172" s="38">
        <v>0</v>
      </c>
      <c r="AE172" s="38">
        <v>0</v>
      </c>
      <c r="AF172" s="38">
        <v>0</v>
      </c>
      <c r="AG172" s="38">
        <v>0</v>
      </c>
      <c r="AH172" s="38">
        <v>0</v>
      </c>
      <c r="AI172" s="38">
        <v>0</v>
      </c>
      <c r="AJ172" s="38">
        <v>32</v>
      </c>
      <c r="AK172" s="37">
        <v>20.253164556962027</v>
      </c>
      <c r="AL172" s="40">
        <f t="shared" si="8"/>
        <v>23</v>
      </c>
      <c r="AM172" s="37">
        <f t="shared" si="9"/>
        <v>25.842696629213485</v>
      </c>
      <c r="AN172" s="40">
        <f t="shared" si="10"/>
        <v>9</v>
      </c>
      <c r="AO172" s="37">
        <f t="shared" si="11"/>
        <v>13.043478260869565</v>
      </c>
      <c r="AP172" s="38">
        <v>143</v>
      </c>
      <c r="AQ172" s="38">
        <v>75</v>
      </c>
      <c r="AR172" s="38">
        <v>68</v>
      </c>
      <c r="AS172" s="38">
        <v>36</v>
      </c>
      <c r="AT172" s="38">
        <v>11</v>
      </c>
      <c r="AU172" s="38">
        <v>25</v>
      </c>
      <c r="AV172" s="38">
        <v>50</v>
      </c>
      <c r="AW172" s="38">
        <v>26</v>
      </c>
      <c r="AX172" s="38">
        <v>24</v>
      </c>
      <c r="AY172" s="38">
        <v>170</v>
      </c>
      <c r="AZ172" s="38">
        <v>93</v>
      </c>
      <c r="BA172" s="38">
        <v>77</v>
      </c>
      <c r="BB172" s="38">
        <v>13</v>
      </c>
      <c r="BC172" s="37">
        <v>7.6470588235294121</v>
      </c>
      <c r="BD172" s="40">
        <v>3</v>
      </c>
      <c r="BE172" s="37">
        <v>3.225806451612903</v>
      </c>
      <c r="BF172" s="40">
        <v>10</v>
      </c>
      <c r="BG172" s="37">
        <v>12.987012987012985</v>
      </c>
      <c r="BH172" s="38">
        <v>50</v>
      </c>
      <c r="BI172" s="38">
        <v>62</v>
      </c>
      <c r="BJ172" s="38">
        <v>33</v>
      </c>
      <c r="BK172" s="38">
        <v>29</v>
      </c>
      <c r="BL172" s="37">
        <v>80.645161290322577</v>
      </c>
      <c r="BM172" s="37">
        <v>78.787878787878782</v>
      </c>
      <c r="BN172" s="37">
        <v>82.758620689655174</v>
      </c>
      <c r="BO172" s="38">
        <v>74</v>
      </c>
      <c r="BP172" s="38">
        <v>37</v>
      </c>
      <c r="BQ172" s="38">
        <v>37</v>
      </c>
      <c r="BR172" s="37">
        <v>67.567567567567565</v>
      </c>
      <c r="BS172" s="37">
        <v>70.270270270270274</v>
      </c>
      <c r="BT172" s="37">
        <v>64.86486486486487</v>
      </c>
      <c r="BU172" s="2"/>
      <c r="BV172" s="2"/>
    </row>
    <row r="173" spans="1:74" ht="15.75" x14ac:dyDescent="0.3">
      <c r="A173" s="2" t="s">
        <v>54</v>
      </c>
      <c r="B173" s="2" t="s">
        <v>55</v>
      </c>
      <c r="C173" s="2" t="s">
        <v>105</v>
      </c>
      <c r="D173" s="2" t="s">
        <v>674</v>
      </c>
      <c r="E173" s="2" t="s">
        <v>674</v>
      </c>
      <c r="F173" s="2" t="s">
        <v>675</v>
      </c>
      <c r="G173" s="2" t="s">
        <v>60</v>
      </c>
      <c r="H173" s="2" t="s">
        <v>61</v>
      </c>
      <c r="I173" s="2" t="s">
        <v>62</v>
      </c>
      <c r="J173" s="2" t="s">
        <v>1003</v>
      </c>
      <c r="K173" s="2" t="s">
        <v>1004</v>
      </c>
      <c r="L173" s="2" t="s">
        <v>1005</v>
      </c>
      <c r="M173" s="2">
        <v>500</v>
      </c>
      <c r="N173" s="2" t="s">
        <v>1006</v>
      </c>
      <c r="O173" s="2" t="s">
        <v>1007</v>
      </c>
      <c r="P173" s="2" t="s">
        <v>1008</v>
      </c>
      <c r="Q173" s="2" t="s">
        <v>69</v>
      </c>
      <c r="R173" s="2" t="s">
        <v>70</v>
      </c>
      <c r="S173" s="2" t="s">
        <v>1009</v>
      </c>
      <c r="T173" s="2" t="s">
        <v>1010</v>
      </c>
      <c r="U173" s="2" t="s">
        <v>1011</v>
      </c>
      <c r="V173" s="2" t="s">
        <v>1010</v>
      </c>
      <c r="W173" s="2" t="s">
        <v>74</v>
      </c>
      <c r="X173" s="38">
        <v>57</v>
      </c>
      <c r="Y173" s="38">
        <v>31</v>
      </c>
      <c r="Z173" s="38">
        <v>26</v>
      </c>
      <c r="AA173" s="38">
        <v>57</v>
      </c>
      <c r="AB173" s="38">
        <v>31</v>
      </c>
      <c r="AC173" s="38">
        <v>26</v>
      </c>
      <c r="AD173" s="38">
        <v>0</v>
      </c>
      <c r="AE173" s="38">
        <v>0</v>
      </c>
      <c r="AF173" s="38">
        <v>0</v>
      </c>
      <c r="AG173" s="38">
        <v>0</v>
      </c>
      <c r="AH173" s="38">
        <v>0</v>
      </c>
      <c r="AI173" s="38">
        <v>0</v>
      </c>
      <c r="AJ173" s="38">
        <v>0</v>
      </c>
      <c r="AK173" s="37">
        <v>0</v>
      </c>
      <c r="AL173" s="40">
        <f t="shared" si="8"/>
        <v>0</v>
      </c>
      <c r="AM173" s="37">
        <f t="shared" si="9"/>
        <v>0</v>
      </c>
      <c r="AN173" s="40">
        <f t="shared" si="10"/>
        <v>0</v>
      </c>
      <c r="AO173" s="37">
        <f t="shared" si="11"/>
        <v>0</v>
      </c>
      <c r="AP173" s="38">
        <v>50</v>
      </c>
      <c r="AQ173" s="38">
        <v>24</v>
      </c>
      <c r="AR173" s="38">
        <v>26</v>
      </c>
      <c r="AS173" s="38">
        <v>14</v>
      </c>
      <c r="AT173" s="38">
        <v>4</v>
      </c>
      <c r="AU173" s="38">
        <v>10</v>
      </c>
      <c r="AV173" s="38">
        <v>17</v>
      </c>
      <c r="AW173" s="38">
        <v>9</v>
      </c>
      <c r="AX173" s="38">
        <v>8</v>
      </c>
      <c r="AY173" s="38">
        <v>60</v>
      </c>
      <c r="AZ173" s="38">
        <v>33</v>
      </c>
      <c r="BA173" s="38">
        <v>27</v>
      </c>
      <c r="BB173" s="38">
        <v>7</v>
      </c>
      <c r="BC173" s="37">
        <v>11.666666666666666</v>
      </c>
      <c r="BD173" s="40">
        <v>4</v>
      </c>
      <c r="BE173" s="37">
        <v>12.121212121212121</v>
      </c>
      <c r="BF173" s="40">
        <v>3</v>
      </c>
      <c r="BG173" s="37">
        <v>11.111111111111111</v>
      </c>
      <c r="BH173" s="38">
        <v>17</v>
      </c>
      <c r="BI173" s="38">
        <v>18</v>
      </c>
      <c r="BJ173" s="38">
        <v>11</v>
      </c>
      <c r="BK173" s="38">
        <v>7</v>
      </c>
      <c r="BL173" s="37">
        <v>94.444444444444443</v>
      </c>
      <c r="BM173" s="37">
        <v>81.818181818181827</v>
      </c>
      <c r="BN173" s="37">
        <v>114.28571428571428</v>
      </c>
      <c r="BO173" s="38">
        <v>23</v>
      </c>
      <c r="BP173" s="38">
        <v>11</v>
      </c>
      <c r="BQ173" s="38">
        <v>12</v>
      </c>
      <c r="BR173" s="37">
        <v>73.91304347826086</v>
      </c>
      <c r="BS173" s="37">
        <v>81.818181818181827</v>
      </c>
      <c r="BT173" s="37">
        <v>66.666666666666657</v>
      </c>
      <c r="BU173" s="2"/>
      <c r="BV173" s="2"/>
    </row>
    <row r="174" spans="1:74" ht="15.75" x14ac:dyDescent="0.3">
      <c r="A174" s="2" t="s">
        <v>54</v>
      </c>
      <c r="B174" s="2" t="s">
        <v>55</v>
      </c>
      <c r="C174" s="2" t="s">
        <v>105</v>
      </c>
      <c r="D174" s="2" t="s">
        <v>674</v>
      </c>
      <c r="E174" s="2" t="s">
        <v>674</v>
      </c>
      <c r="F174" s="2" t="s">
        <v>675</v>
      </c>
      <c r="G174" s="2" t="s">
        <v>60</v>
      </c>
      <c r="H174" s="2" t="s">
        <v>61</v>
      </c>
      <c r="I174" s="2" t="s">
        <v>62</v>
      </c>
      <c r="J174" s="2" t="s">
        <v>63</v>
      </c>
      <c r="K174" s="2" t="s">
        <v>1012</v>
      </c>
      <c r="L174" s="2" t="s">
        <v>1013</v>
      </c>
      <c r="M174" s="2">
        <v>77</v>
      </c>
      <c r="N174" s="2" t="s">
        <v>1014</v>
      </c>
      <c r="O174" s="2" t="s">
        <v>1015</v>
      </c>
      <c r="P174" s="2" t="s">
        <v>1016</v>
      </c>
      <c r="Q174" s="2" t="s">
        <v>69</v>
      </c>
      <c r="R174" s="2" t="s">
        <v>70</v>
      </c>
      <c r="S174" s="2" t="s">
        <v>1017</v>
      </c>
      <c r="T174" s="2" t="s">
        <v>1018</v>
      </c>
      <c r="U174" s="2" t="s">
        <v>1019</v>
      </c>
      <c r="V174" s="2" t="s">
        <v>1018</v>
      </c>
      <c r="W174" s="2" t="s">
        <v>74</v>
      </c>
      <c r="X174" s="38">
        <v>120</v>
      </c>
      <c r="Y174" s="38">
        <v>58</v>
      </c>
      <c r="Z174" s="38">
        <v>62</v>
      </c>
      <c r="AA174" s="38">
        <v>109</v>
      </c>
      <c r="AB174" s="38">
        <v>51</v>
      </c>
      <c r="AC174" s="38">
        <v>58</v>
      </c>
      <c r="AD174" s="38">
        <v>11</v>
      </c>
      <c r="AE174" s="38">
        <v>7</v>
      </c>
      <c r="AF174" s="38">
        <v>4</v>
      </c>
      <c r="AG174" s="38">
        <v>0</v>
      </c>
      <c r="AH174" s="38">
        <v>0</v>
      </c>
      <c r="AI174" s="38">
        <v>0</v>
      </c>
      <c r="AJ174" s="38">
        <v>0</v>
      </c>
      <c r="AK174" s="37">
        <v>0</v>
      </c>
      <c r="AL174" s="40">
        <f t="shared" si="8"/>
        <v>0</v>
      </c>
      <c r="AM174" s="37">
        <f t="shared" si="9"/>
        <v>0</v>
      </c>
      <c r="AN174" s="40">
        <f t="shared" si="10"/>
        <v>0</v>
      </c>
      <c r="AO174" s="37">
        <f t="shared" si="11"/>
        <v>0</v>
      </c>
      <c r="AP174" s="38">
        <v>110</v>
      </c>
      <c r="AQ174" s="38">
        <v>50</v>
      </c>
      <c r="AR174" s="38">
        <v>60</v>
      </c>
      <c r="AS174" s="38">
        <v>40</v>
      </c>
      <c r="AT174" s="38">
        <v>19</v>
      </c>
      <c r="AU174" s="38">
        <v>21</v>
      </c>
      <c r="AV174" s="38">
        <v>35</v>
      </c>
      <c r="AW174" s="38">
        <v>20</v>
      </c>
      <c r="AX174" s="38">
        <v>15</v>
      </c>
      <c r="AY174" s="38">
        <v>120</v>
      </c>
      <c r="AZ174" s="38">
        <v>59</v>
      </c>
      <c r="BA174" s="38">
        <v>61</v>
      </c>
      <c r="BB174" s="38">
        <v>15</v>
      </c>
      <c r="BC174" s="37">
        <v>12.5</v>
      </c>
      <c r="BD174" s="40">
        <v>8</v>
      </c>
      <c r="BE174" s="37">
        <v>13.559322033898304</v>
      </c>
      <c r="BF174" s="40">
        <v>7</v>
      </c>
      <c r="BG174" s="37">
        <v>11.475409836065573</v>
      </c>
      <c r="BH174" s="38">
        <v>35</v>
      </c>
      <c r="BI174" s="38">
        <v>35</v>
      </c>
      <c r="BJ174" s="38">
        <v>19</v>
      </c>
      <c r="BK174" s="38">
        <v>16</v>
      </c>
      <c r="BL174" s="37">
        <v>100</v>
      </c>
      <c r="BM174" s="37">
        <v>105.26315789473684</v>
      </c>
      <c r="BN174" s="37">
        <v>93.75</v>
      </c>
      <c r="BO174" s="38">
        <v>44</v>
      </c>
      <c r="BP174" s="38">
        <v>26</v>
      </c>
      <c r="BQ174" s="38">
        <v>18</v>
      </c>
      <c r="BR174" s="37">
        <v>79.545454545454547</v>
      </c>
      <c r="BS174" s="37">
        <v>76.923076923076934</v>
      </c>
      <c r="BT174" s="37">
        <v>83.333333333333343</v>
      </c>
      <c r="BU174" s="2"/>
      <c r="BV174" s="2"/>
    </row>
    <row r="175" spans="1:74" ht="15.75" x14ac:dyDescent="0.3">
      <c r="A175" s="2" t="s">
        <v>54</v>
      </c>
      <c r="B175" s="2" t="s">
        <v>55</v>
      </c>
      <c r="C175" s="2" t="s">
        <v>105</v>
      </c>
      <c r="D175" s="2" t="s">
        <v>674</v>
      </c>
      <c r="E175" s="2" t="s">
        <v>674</v>
      </c>
      <c r="F175" s="2" t="s">
        <v>675</v>
      </c>
      <c r="G175" s="2" t="s">
        <v>60</v>
      </c>
      <c r="H175" s="2" t="s">
        <v>61</v>
      </c>
      <c r="I175" s="2" t="s">
        <v>178</v>
      </c>
      <c r="J175" s="2" t="s">
        <v>178</v>
      </c>
      <c r="K175" s="2" t="s">
        <v>1020</v>
      </c>
      <c r="L175" s="2" t="s">
        <v>1021</v>
      </c>
      <c r="M175" s="2">
        <v>28</v>
      </c>
      <c r="N175" s="2" t="s">
        <v>1022</v>
      </c>
      <c r="O175" s="2" t="s">
        <v>1023</v>
      </c>
      <c r="P175" s="2" t="s">
        <v>1024</v>
      </c>
      <c r="Q175" s="2" t="s">
        <v>90</v>
      </c>
      <c r="R175" s="2" t="s">
        <v>91</v>
      </c>
      <c r="S175" s="2" t="s">
        <v>1025</v>
      </c>
      <c r="T175" s="2" t="s">
        <v>1026</v>
      </c>
      <c r="U175" s="2" t="s">
        <v>1027</v>
      </c>
      <c r="V175" s="2" t="s">
        <v>1026</v>
      </c>
      <c r="W175" s="2" t="s">
        <v>74</v>
      </c>
      <c r="X175" s="38">
        <v>88</v>
      </c>
      <c r="Y175" s="38">
        <v>29</v>
      </c>
      <c r="Z175" s="38">
        <v>59</v>
      </c>
      <c r="AA175" s="38">
        <v>88</v>
      </c>
      <c r="AB175" s="38">
        <v>29</v>
      </c>
      <c r="AC175" s="38">
        <v>59</v>
      </c>
      <c r="AD175" s="38">
        <v>0</v>
      </c>
      <c r="AE175" s="38">
        <v>0</v>
      </c>
      <c r="AF175" s="38">
        <v>0</v>
      </c>
      <c r="AG175" s="38">
        <v>0</v>
      </c>
      <c r="AH175" s="38">
        <v>0</v>
      </c>
      <c r="AI175" s="38">
        <v>0</v>
      </c>
      <c r="AJ175" s="38">
        <v>0</v>
      </c>
      <c r="AK175" s="37">
        <v>0</v>
      </c>
      <c r="AL175" s="40">
        <f t="shared" si="8"/>
        <v>0</v>
      </c>
      <c r="AM175" s="37">
        <f t="shared" si="9"/>
        <v>0</v>
      </c>
      <c r="AN175" s="40">
        <f t="shared" si="10"/>
        <v>0</v>
      </c>
      <c r="AO175" s="37">
        <f t="shared" si="11"/>
        <v>0</v>
      </c>
      <c r="AP175" s="38">
        <v>104</v>
      </c>
      <c r="AQ175" s="38">
        <v>42</v>
      </c>
      <c r="AR175" s="38">
        <v>62</v>
      </c>
      <c r="AS175" s="38">
        <v>39</v>
      </c>
      <c r="AT175" s="38">
        <v>20</v>
      </c>
      <c r="AU175" s="38">
        <v>19</v>
      </c>
      <c r="AV175" s="38">
        <v>20</v>
      </c>
      <c r="AW175" s="38">
        <v>8</v>
      </c>
      <c r="AX175" s="38">
        <v>12</v>
      </c>
      <c r="AY175" s="38">
        <v>89</v>
      </c>
      <c r="AZ175" s="38">
        <v>33</v>
      </c>
      <c r="BA175" s="38">
        <v>56</v>
      </c>
      <c r="BB175" s="38">
        <v>4</v>
      </c>
      <c r="BC175" s="37">
        <v>4.4943820224719104</v>
      </c>
      <c r="BD175" s="40">
        <v>3</v>
      </c>
      <c r="BE175" s="37">
        <v>9.0909090909090917</v>
      </c>
      <c r="BF175" s="40">
        <v>1</v>
      </c>
      <c r="BG175" s="37">
        <v>1.7857142857142856</v>
      </c>
      <c r="BH175" s="38">
        <v>20</v>
      </c>
      <c r="BI175" s="38">
        <v>20</v>
      </c>
      <c r="BJ175" s="38">
        <v>8</v>
      </c>
      <c r="BK175" s="38">
        <v>12</v>
      </c>
      <c r="BL175" s="37">
        <v>100</v>
      </c>
      <c r="BM175" s="37">
        <v>100</v>
      </c>
      <c r="BN175" s="37">
        <v>100</v>
      </c>
      <c r="BO175" s="38">
        <v>15</v>
      </c>
      <c r="BP175" s="38">
        <v>7</v>
      </c>
      <c r="BQ175" s="38">
        <v>8</v>
      </c>
      <c r="BR175" s="37">
        <v>133.33333333333331</v>
      </c>
      <c r="BS175" s="37">
        <v>114.28571428571428</v>
      </c>
      <c r="BT175" s="37">
        <v>150</v>
      </c>
      <c r="BU175" s="2"/>
      <c r="BV175" s="2"/>
    </row>
    <row r="176" spans="1:74" ht="15.75" x14ac:dyDescent="0.3">
      <c r="A176" s="2" t="s">
        <v>54</v>
      </c>
      <c r="B176" s="2" t="s">
        <v>55</v>
      </c>
      <c r="C176" s="2" t="s">
        <v>56</v>
      </c>
      <c r="D176" s="2" t="s">
        <v>674</v>
      </c>
      <c r="E176" s="2" t="s">
        <v>674</v>
      </c>
      <c r="F176" s="2" t="s">
        <v>675</v>
      </c>
      <c r="G176" s="2" t="s">
        <v>60</v>
      </c>
      <c r="H176" s="2" t="s">
        <v>61</v>
      </c>
      <c r="I176" s="2" t="s">
        <v>62</v>
      </c>
      <c r="J176" s="2" t="s">
        <v>63</v>
      </c>
      <c r="K176" s="2" t="s">
        <v>159</v>
      </c>
      <c r="L176" s="2" t="s">
        <v>810</v>
      </c>
      <c r="M176" s="2">
        <v>2</v>
      </c>
      <c r="N176" s="2" t="s">
        <v>811</v>
      </c>
      <c r="O176" s="2" t="s">
        <v>812</v>
      </c>
      <c r="P176" s="2" t="s">
        <v>101</v>
      </c>
      <c r="Q176" s="2" t="s">
        <v>69</v>
      </c>
      <c r="R176" s="2" t="s">
        <v>70</v>
      </c>
      <c r="S176" s="2" t="s">
        <v>813</v>
      </c>
      <c r="T176" s="2" t="s">
        <v>814</v>
      </c>
      <c r="U176" s="2" t="s">
        <v>1028</v>
      </c>
      <c r="V176" s="2" t="s">
        <v>1029</v>
      </c>
      <c r="W176" s="2" t="s">
        <v>113</v>
      </c>
      <c r="X176" s="38">
        <v>167</v>
      </c>
      <c r="Y176" s="38">
        <v>92</v>
      </c>
      <c r="Z176" s="38">
        <v>75</v>
      </c>
      <c r="AA176" s="38">
        <v>112</v>
      </c>
      <c r="AB176" s="38">
        <v>57</v>
      </c>
      <c r="AC176" s="38">
        <v>55</v>
      </c>
      <c r="AD176" s="38">
        <v>23</v>
      </c>
      <c r="AE176" s="38">
        <v>7</v>
      </c>
      <c r="AF176" s="38">
        <v>16</v>
      </c>
      <c r="AG176" s="38">
        <v>0</v>
      </c>
      <c r="AH176" s="38">
        <v>0</v>
      </c>
      <c r="AI176" s="38">
        <v>0</v>
      </c>
      <c r="AJ176" s="38">
        <v>32</v>
      </c>
      <c r="AK176" s="37">
        <v>19.161676646706589</v>
      </c>
      <c r="AL176" s="40">
        <f t="shared" si="8"/>
        <v>28</v>
      </c>
      <c r="AM176" s="37">
        <f t="shared" si="9"/>
        <v>30.434782608695656</v>
      </c>
      <c r="AN176" s="40">
        <f t="shared" si="10"/>
        <v>4</v>
      </c>
      <c r="AO176" s="37">
        <f t="shared" si="11"/>
        <v>5.3333333333333339</v>
      </c>
      <c r="AP176" s="38">
        <v>179</v>
      </c>
      <c r="AQ176" s="38">
        <v>97</v>
      </c>
      <c r="AR176" s="38">
        <v>82</v>
      </c>
      <c r="AS176" s="38">
        <v>90</v>
      </c>
      <c r="AT176" s="38">
        <v>45</v>
      </c>
      <c r="AU176" s="38">
        <v>45</v>
      </c>
      <c r="AV176" s="38">
        <v>65</v>
      </c>
      <c r="AW176" s="38">
        <v>30</v>
      </c>
      <c r="AX176" s="38">
        <v>35</v>
      </c>
      <c r="AY176" s="38">
        <v>136</v>
      </c>
      <c r="AZ176" s="38">
        <v>69</v>
      </c>
      <c r="BA176" s="38">
        <v>67</v>
      </c>
      <c r="BB176" s="38">
        <v>-18</v>
      </c>
      <c r="BC176" s="37">
        <v>-13.23529411764706</v>
      </c>
      <c r="BD176" s="40">
        <v>-13</v>
      </c>
      <c r="BE176" s="37">
        <v>-18.840579710144929</v>
      </c>
      <c r="BF176" s="40">
        <v>-5</v>
      </c>
      <c r="BG176" s="37">
        <v>-7.4626865671641784</v>
      </c>
      <c r="BH176" s="38">
        <v>65</v>
      </c>
      <c r="BI176" s="38">
        <v>58</v>
      </c>
      <c r="BJ176" s="38">
        <v>26</v>
      </c>
      <c r="BK176" s="38">
        <v>32</v>
      </c>
      <c r="BL176" s="37">
        <v>112.06896551724137</v>
      </c>
      <c r="BM176" s="37">
        <v>115.38461538461537</v>
      </c>
      <c r="BN176" s="37">
        <v>109.375</v>
      </c>
      <c r="BO176" s="38">
        <v>53</v>
      </c>
      <c r="BP176" s="38">
        <v>22</v>
      </c>
      <c r="BQ176" s="38">
        <v>31</v>
      </c>
      <c r="BR176" s="37">
        <v>122.64150943396226</v>
      </c>
      <c r="BS176" s="37">
        <v>136.36363636363635</v>
      </c>
      <c r="BT176" s="37">
        <v>112.90322580645163</v>
      </c>
      <c r="BU176" s="2"/>
      <c r="BV176" s="2"/>
    </row>
    <row r="177" spans="1:74" ht="15.75" x14ac:dyDescent="0.3">
      <c r="A177" s="2" t="s">
        <v>54</v>
      </c>
      <c r="B177" s="2" t="s">
        <v>55</v>
      </c>
      <c r="C177" s="2" t="s">
        <v>56</v>
      </c>
      <c r="D177" s="2" t="s">
        <v>674</v>
      </c>
      <c r="E177" s="2" t="s">
        <v>674</v>
      </c>
      <c r="F177" s="2" t="s">
        <v>675</v>
      </c>
      <c r="G177" s="2" t="s">
        <v>60</v>
      </c>
      <c r="H177" s="2" t="s">
        <v>61</v>
      </c>
      <c r="I177" s="2" t="s">
        <v>62</v>
      </c>
      <c r="J177" s="2" t="s">
        <v>63</v>
      </c>
      <c r="K177" s="2" t="s">
        <v>988</v>
      </c>
      <c r="L177" s="2" t="s">
        <v>1030</v>
      </c>
      <c r="M177" s="2">
        <v>3150</v>
      </c>
      <c r="N177" s="2" t="s">
        <v>1031</v>
      </c>
      <c r="O177" s="2" t="s">
        <v>1032</v>
      </c>
      <c r="P177" s="2" t="s">
        <v>1033</v>
      </c>
      <c r="Q177" s="2" t="s">
        <v>69</v>
      </c>
      <c r="R177" s="2" t="s">
        <v>70</v>
      </c>
      <c r="S177" s="2" t="s">
        <v>1034</v>
      </c>
      <c r="T177" s="2" t="s">
        <v>1035</v>
      </c>
      <c r="U177" s="2" t="s">
        <v>1036</v>
      </c>
      <c r="V177" s="2" t="s">
        <v>1035</v>
      </c>
      <c r="W177" s="2" t="s">
        <v>74</v>
      </c>
      <c r="X177" s="38">
        <v>187</v>
      </c>
      <c r="Y177" s="38">
        <v>80</v>
      </c>
      <c r="Z177" s="38">
        <v>107</v>
      </c>
      <c r="AA177" s="38">
        <v>162</v>
      </c>
      <c r="AB177" s="38">
        <v>68</v>
      </c>
      <c r="AC177" s="38">
        <v>94</v>
      </c>
      <c r="AD177" s="38">
        <v>25</v>
      </c>
      <c r="AE177" s="38">
        <v>12</v>
      </c>
      <c r="AF177" s="38">
        <v>13</v>
      </c>
      <c r="AG177" s="38">
        <v>0</v>
      </c>
      <c r="AH177" s="38">
        <v>0</v>
      </c>
      <c r="AI177" s="38">
        <v>0</v>
      </c>
      <c r="AJ177" s="38">
        <v>0</v>
      </c>
      <c r="AK177" s="37">
        <v>0</v>
      </c>
      <c r="AL177" s="40">
        <f t="shared" si="8"/>
        <v>0</v>
      </c>
      <c r="AM177" s="37">
        <f t="shared" si="9"/>
        <v>0</v>
      </c>
      <c r="AN177" s="40">
        <f t="shared" si="10"/>
        <v>0</v>
      </c>
      <c r="AO177" s="37">
        <f t="shared" si="11"/>
        <v>0</v>
      </c>
      <c r="AP177" s="38">
        <v>180</v>
      </c>
      <c r="AQ177" s="38">
        <v>81</v>
      </c>
      <c r="AR177" s="38">
        <v>99</v>
      </c>
      <c r="AS177" s="38">
        <v>61</v>
      </c>
      <c r="AT177" s="38">
        <v>28</v>
      </c>
      <c r="AU177" s="38">
        <v>33</v>
      </c>
      <c r="AV177" s="38">
        <v>54</v>
      </c>
      <c r="AW177" s="38">
        <v>20</v>
      </c>
      <c r="AX177" s="38">
        <v>34</v>
      </c>
      <c r="AY177" s="38">
        <v>199</v>
      </c>
      <c r="AZ177" s="38">
        <v>84</v>
      </c>
      <c r="BA177" s="38">
        <v>115</v>
      </c>
      <c r="BB177" s="38">
        <v>26</v>
      </c>
      <c r="BC177" s="37">
        <v>13.06532663316583</v>
      </c>
      <c r="BD177" s="40">
        <v>11</v>
      </c>
      <c r="BE177" s="37">
        <v>13.095238095238097</v>
      </c>
      <c r="BF177" s="40">
        <v>15</v>
      </c>
      <c r="BG177" s="37">
        <v>13.043478260869565</v>
      </c>
      <c r="BH177" s="38">
        <v>54</v>
      </c>
      <c r="BI177" s="38">
        <v>55</v>
      </c>
      <c r="BJ177" s="38">
        <v>21</v>
      </c>
      <c r="BK177" s="38">
        <v>34</v>
      </c>
      <c r="BL177" s="37">
        <v>98.181818181818187</v>
      </c>
      <c r="BM177" s="37">
        <v>95.238095238095227</v>
      </c>
      <c r="BN177" s="37">
        <v>100</v>
      </c>
      <c r="BO177" s="38">
        <v>65</v>
      </c>
      <c r="BP177" s="38">
        <v>22</v>
      </c>
      <c r="BQ177" s="38">
        <v>43</v>
      </c>
      <c r="BR177" s="37">
        <v>83.07692307692308</v>
      </c>
      <c r="BS177" s="37">
        <v>90.909090909090907</v>
      </c>
      <c r="BT177" s="37">
        <v>79.069767441860463</v>
      </c>
      <c r="BU177" s="2"/>
      <c r="BV177" s="2"/>
    </row>
    <row r="178" spans="1:74" ht="15.75" x14ac:dyDescent="0.3">
      <c r="A178" s="2" t="s">
        <v>54</v>
      </c>
      <c r="B178" s="2" t="s">
        <v>55</v>
      </c>
      <c r="C178" s="2" t="s">
        <v>56</v>
      </c>
      <c r="D178" s="2" t="s">
        <v>674</v>
      </c>
      <c r="E178" s="2" t="s">
        <v>674</v>
      </c>
      <c r="F178" s="2" t="s">
        <v>675</v>
      </c>
      <c r="G178" s="2" t="s">
        <v>186</v>
      </c>
      <c r="H178" s="2" t="s">
        <v>61</v>
      </c>
      <c r="I178" s="2" t="s">
        <v>122</v>
      </c>
      <c r="J178" s="2" t="s">
        <v>830</v>
      </c>
      <c r="K178" s="2" t="s">
        <v>830</v>
      </c>
      <c r="L178" s="2" t="s">
        <v>1037</v>
      </c>
      <c r="M178" s="2">
        <v>13</v>
      </c>
      <c r="N178" s="2" t="s">
        <v>1038</v>
      </c>
      <c r="O178" s="2" t="s">
        <v>1039</v>
      </c>
      <c r="P178" s="2" t="s">
        <v>80</v>
      </c>
      <c r="Q178" s="2" t="s">
        <v>69</v>
      </c>
      <c r="R178" s="2" t="s">
        <v>70</v>
      </c>
      <c r="S178" s="2" t="s">
        <v>1040</v>
      </c>
      <c r="T178" s="2" t="s">
        <v>1041</v>
      </c>
      <c r="U178" s="2" t="s">
        <v>1042</v>
      </c>
      <c r="V178" s="2" t="s">
        <v>1041</v>
      </c>
      <c r="W178" s="2" t="s">
        <v>74</v>
      </c>
      <c r="X178" s="38">
        <v>108</v>
      </c>
      <c r="Y178" s="38">
        <v>46</v>
      </c>
      <c r="Z178" s="38">
        <v>62</v>
      </c>
      <c r="AA178" s="38">
        <v>102</v>
      </c>
      <c r="AB178" s="38">
        <v>40</v>
      </c>
      <c r="AC178" s="38">
        <v>62</v>
      </c>
      <c r="AD178" s="38">
        <v>6</v>
      </c>
      <c r="AE178" s="38">
        <v>6</v>
      </c>
      <c r="AF178" s="38">
        <v>0</v>
      </c>
      <c r="AG178" s="38">
        <v>0</v>
      </c>
      <c r="AH178" s="38">
        <v>0</v>
      </c>
      <c r="AI178" s="38">
        <v>0</v>
      </c>
      <c r="AJ178" s="38">
        <v>0</v>
      </c>
      <c r="AK178" s="37">
        <v>0</v>
      </c>
      <c r="AL178" s="40">
        <f t="shared" si="8"/>
        <v>0</v>
      </c>
      <c r="AM178" s="37">
        <f t="shared" si="9"/>
        <v>0</v>
      </c>
      <c r="AN178" s="40">
        <f t="shared" si="10"/>
        <v>0</v>
      </c>
      <c r="AO178" s="37">
        <f t="shared" si="11"/>
        <v>0</v>
      </c>
      <c r="AP178" s="38">
        <v>117</v>
      </c>
      <c r="AQ178" s="38">
        <v>49</v>
      </c>
      <c r="AR178" s="38">
        <v>68</v>
      </c>
      <c r="AS178" s="38">
        <v>35</v>
      </c>
      <c r="AT178" s="38">
        <v>17</v>
      </c>
      <c r="AU178" s="38">
        <v>18</v>
      </c>
      <c r="AV178" s="38">
        <v>26</v>
      </c>
      <c r="AW178" s="38">
        <v>12</v>
      </c>
      <c r="AX178" s="38">
        <v>14</v>
      </c>
      <c r="AY178" s="38">
        <v>108</v>
      </c>
      <c r="AZ178" s="38">
        <v>46</v>
      </c>
      <c r="BA178" s="38">
        <v>62</v>
      </c>
      <c r="BB178" s="38">
        <v>0</v>
      </c>
      <c r="BC178" s="37">
        <v>0</v>
      </c>
      <c r="BD178" s="40">
        <v>2</v>
      </c>
      <c r="BE178" s="37">
        <v>4.3478260869565215</v>
      </c>
      <c r="BF178" s="40">
        <v>-2</v>
      </c>
      <c r="BG178" s="37">
        <v>-3.225806451612903</v>
      </c>
      <c r="BH178" s="38">
        <v>26</v>
      </c>
      <c r="BI178" s="38">
        <v>25</v>
      </c>
      <c r="BJ178" s="38">
        <v>11</v>
      </c>
      <c r="BK178" s="38">
        <v>14</v>
      </c>
      <c r="BL178" s="37">
        <v>104</v>
      </c>
      <c r="BM178" s="37">
        <v>109.09090909090908</v>
      </c>
      <c r="BN178" s="37">
        <v>100</v>
      </c>
      <c r="BO178" s="38">
        <v>28</v>
      </c>
      <c r="BP178" s="38">
        <v>14</v>
      </c>
      <c r="BQ178" s="38">
        <v>14</v>
      </c>
      <c r="BR178" s="37">
        <v>92.857142857142861</v>
      </c>
      <c r="BS178" s="37">
        <v>85.714285714285708</v>
      </c>
      <c r="BT178" s="37">
        <v>100</v>
      </c>
      <c r="BU178" s="2"/>
      <c r="BV178" s="2"/>
    </row>
    <row r="179" spans="1:74" ht="15.75" x14ac:dyDescent="0.3">
      <c r="A179" s="2" t="s">
        <v>54</v>
      </c>
      <c r="B179" s="2" t="s">
        <v>55</v>
      </c>
      <c r="C179" s="2" t="s">
        <v>105</v>
      </c>
      <c r="D179" s="2" t="s">
        <v>674</v>
      </c>
      <c r="E179" s="2" t="s">
        <v>674</v>
      </c>
      <c r="F179" s="2" t="s">
        <v>675</v>
      </c>
      <c r="G179" s="2" t="s">
        <v>60</v>
      </c>
      <c r="H179" s="2" t="s">
        <v>61</v>
      </c>
      <c r="I179" s="2" t="s">
        <v>188</v>
      </c>
      <c r="J179" s="2" t="s">
        <v>188</v>
      </c>
      <c r="K179" s="2" t="s">
        <v>1043</v>
      </c>
      <c r="L179" s="2" t="s">
        <v>1044</v>
      </c>
      <c r="M179" s="2">
        <v>142</v>
      </c>
      <c r="N179" s="2" t="s">
        <v>1045</v>
      </c>
      <c r="O179" s="2" t="s">
        <v>1046</v>
      </c>
      <c r="P179" s="2" t="s">
        <v>80</v>
      </c>
      <c r="Q179" s="2" t="s">
        <v>144</v>
      </c>
      <c r="R179" s="2" t="s">
        <v>145</v>
      </c>
      <c r="S179" s="2" t="s">
        <v>1047</v>
      </c>
      <c r="T179" s="2" t="s">
        <v>1048</v>
      </c>
      <c r="U179" s="2" t="s">
        <v>1049</v>
      </c>
      <c r="V179" s="2" t="s">
        <v>1048</v>
      </c>
      <c r="W179" s="2" t="s">
        <v>74</v>
      </c>
      <c r="X179" s="38">
        <v>45</v>
      </c>
      <c r="Y179" s="38">
        <v>26</v>
      </c>
      <c r="Z179" s="38">
        <v>19</v>
      </c>
      <c r="AA179" s="38">
        <v>45</v>
      </c>
      <c r="AB179" s="38">
        <v>26</v>
      </c>
      <c r="AC179" s="38">
        <v>19</v>
      </c>
      <c r="AD179" s="38">
        <v>0</v>
      </c>
      <c r="AE179" s="38">
        <v>0</v>
      </c>
      <c r="AF179" s="38">
        <v>0</v>
      </c>
      <c r="AG179" s="38">
        <v>0</v>
      </c>
      <c r="AH179" s="38">
        <v>0</v>
      </c>
      <c r="AI179" s="38">
        <v>0</v>
      </c>
      <c r="AJ179" s="38">
        <v>0</v>
      </c>
      <c r="AK179" s="37">
        <v>0</v>
      </c>
      <c r="AL179" s="40">
        <f t="shared" si="8"/>
        <v>0</v>
      </c>
      <c r="AM179" s="37">
        <f t="shared" si="9"/>
        <v>0</v>
      </c>
      <c r="AN179" s="40">
        <f t="shared" si="10"/>
        <v>0</v>
      </c>
      <c r="AO179" s="37">
        <f t="shared" si="11"/>
        <v>0</v>
      </c>
      <c r="AP179" s="38">
        <v>60</v>
      </c>
      <c r="AQ179" s="38">
        <v>33</v>
      </c>
      <c r="AR179" s="38">
        <v>27</v>
      </c>
      <c r="AS179" s="38">
        <v>30</v>
      </c>
      <c r="AT179" s="38">
        <v>14</v>
      </c>
      <c r="AU179" s="38">
        <v>16</v>
      </c>
      <c r="AV179" s="38">
        <v>10</v>
      </c>
      <c r="AW179" s="38">
        <v>4</v>
      </c>
      <c r="AX179" s="38">
        <v>6</v>
      </c>
      <c r="AY179" s="38">
        <v>56</v>
      </c>
      <c r="AZ179" s="38">
        <v>32</v>
      </c>
      <c r="BA179" s="38">
        <v>24</v>
      </c>
      <c r="BB179" s="38">
        <v>16</v>
      </c>
      <c r="BC179" s="37">
        <v>28.571428571428569</v>
      </c>
      <c r="BD179" s="40">
        <v>9</v>
      </c>
      <c r="BE179" s="37">
        <v>28.125</v>
      </c>
      <c r="BF179" s="40">
        <v>7</v>
      </c>
      <c r="BG179" s="37">
        <v>29.166666666666668</v>
      </c>
      <c r="BH179" s="38">
        <v>10</v>
      </c>
      <c r="BI179" s="38">
        <v>12</v>
      </c>
      <c r="BJ179" s="38">
        <v>4</v>
      </c>
      <c r="BK179" s="38">
        <v>8</v>
      </c>
      <c r="BL179" s="37">
        <v>83.333333333333343</v>
      </c>
      <c r="BM179" s="37">
        <v>100</v>
      </c>
      <c r="BN179" s="37">
        <v>75</v>
      </c>
      <c r="BO179" s="38">
        <v>24</v>
      </c>
      <c r="BP179" s="38">
        <v>13</v>
      </c>
      <c r="BQ179" s="38">
        <v>11</v>
      </c>
      <c r="BR179" s="37">
        <v>41.666666666666671</v>
      </c>
      <c r="BS179" s="37">
        <v>30.76923076923077</v>
      </c>
      <c r="BT179" s="37">
        <v>54.54545454545454</v>
      </c>
      <c r="BU179" s="2"/>
      <c r="BV179" s="2"/>
    </row>
    <row r="180" spans="1:74" ht="15.75" x14ac:dyDescent="0.3">
      <c r="A180" s="2" t="s">
        <v>54</v>
      </c>
      <c r="B180" s="2" t="s">
        <v>55</v>
      </c>
      <c r="C180" s="2" t="s">
        <v>56</v>
      </c>
      <c r="D180" s="2" t="s">
        <v>674</v>
      </c>
      <c r="E180" s="2" t="s">
        <v>674</v>
      </c>
      <c r="F180" s="2" t="s">
        <v>675</v>
      </c>
      <c r="G180" s="2" t="s">
        <v>60</v>
      </c>
      <c r="H180" s="2" t="s">
        <v>61</v>
      </c>
      <c r="I180" s="2" t="s">
        <v>62</v>
      </c>
      <c r="J180" s="2" t="s">
        <v>63</v>
      </c>
      <c r="K180" s="2" t="s">
        <v>159</v>
      </c>
      <c r="L180" s="2" t="s">
        <v>1050</v>
      </c>
      <c r="M180" s="2">
        <v>153</v>
      </c>
      <c r="N180" s="2" t="s">
        <v>1051</v>
      </c>
      <c r="O180" s="2" t="s">
        <v>1052</v>
      </c>
      <c r="P180" s="2" t="s">
        <v>80</v>
      </c>
      <c r="Q180" s="2" t="s">
        <v>69</v>
      </c>
      <c r="R180" s="2" t="s">
        <v>70</v>
      </c>
      <c r="S180" s="2" t="s">
        <v>1053</v>
      </c>
      <c r="T180" s="2" t="s">
        <v>1054</v>
      </c>
      <c r="U180" s="2" t="s">
        <v>1055</v>
      </c>
      <c r="V180" s="2" t="s">
        <v>1054</v>
      </c>
      <c r="W180" s="2" t="s">
        <v>74</v>
      </c>
      <c r="X180" s="38">
        <v>94</v>
      </c>
      <c r="Y180" s="38">
        <v>41</v>
      </c>
      <c r="Z180" s="38">
        <v>53</v>
      </c>
      <c r="AA180" s="38">
        <v>72</v>
      </c>
      <c r="AB180" s="38">
        <v>31</v>
      </c>
      <c r="AC180" s="38">
        <v>41</v>
      </c>
      <c r="AD180" s="38">
        <v>5</v>
      </c>
      <c r="AE180" s="38">
        <v>1</v>
      </c>
      <c r="AF180" s="38">
        <v>4</v>
      </c>
      <c r="AG180" s="38">
        <v>0</v>
      </c>
      <c r="AH180" s="38">
        <v>0</v>
      </c>
      <c r="AI180" s="38">
        <v>0</v>
      </c>
      <c r="AJ180" s="38">
        <v>17</v>
      </c>
      <c r="AK180" s="37">
        <v>18.085106382978726</v>
      </c>
      <c r="AL180" s="40">
        <f t="shared" si="8"/>
        <v>9</v>
      </c>
      <c r="AM180" s="37">
        <f t="shared" si="9"/>
        <v>21.951219512195124</v>
      </c>
      <c r="AN180" s="40">
        <f t="shared" si="10"/>
        <v>8</v>
      </c>
      <c r="AO180" s="37">
        <f t="shared" si="11"/>
        <v>15.09433962264151</v>
      </c>
      <c r="AP180" s="38">
        <v>76</v>
      </c>
      <c r="AQ180" s="38">
        <v>40</v>
      </c>
      <c r="AR180" s="38">
        <v>36</v>
      </c>
      <c r="AS180" s="38">
        <v>21</v>
      </c>
      <c r="AT180" s="38">
        <v>13</v>
      </c>
      <c r="AU180" s="38">
        <v>8</v>
      </c>
      <c r="AV180" s="38">
        <v>17</v>
      </c>
      <c r="AW180" s="38">
        <v>4</v>
      </c>
      <c r="AX180" s="38">
        <v>13</v>
      </c>
      <c r="AY180" s="38">
        <v>94</v>
      </c>
      <c r="AZ180" s="38">
        <v>41</v>
      </c>
      <c r="BA180" s="38">
        <v>53</v>
      </c>
      <c r="BB180" s="38">
        <v>22</v>
      </c>
      <c r="BC180" s="37">
        <v>23.404255319148938</v>
      </c>
      <c r="BD180" s="40">
        <v>10</v>
      </c>
      <c r="BE180" s="37">
        <v>24.390243902439025</v>
      </c>
      <c r="BF180" s="40">
        <v>12</v>
      </c>
      <c r="BG180" s="37">
        <v>22.641509433962266</v>
      </c>
      <c r="BH180" s="38">
        <v>17</v>
      </c>
      <c r="BI180" s="38">
        <v>24</v>
      </c>
      <c r="BJ180" s="38">
        <v>8</v>
      </c>
      <c r="BK180" s="38">
        <v>16</v>
      </c>
      <c r="BL180" s="37">
        <v>70.833333333333343</v>
      </c>
      <c r="BM180" s="37">
        <v>50</v>
      </c>
      <c r="BN180" s="37">
        <v>81.25</v>
      </c>
      <c r="BO180" s="38">
        <v>36</v>
      </c>
      <c r="BP180" s="38">
        <v>15</v>
      </c>
      <c r="BQ180" s="38">
        <v>21</v>
      </c>
      <c r="BR180" s="37">
        <v>47.222222222222221</v>
      </c>
      <c r="BS180" s="37">
        <v>26.666666666666668</v>
      </c>
      <c r="BT180" s="37">
        <v>61.904761904761905</v>
      </c>
      <c r="BU180" s="2"/>
      <c r="BV180" s="2"/>
    </row>
    <row r="181" spans="1:74" ht="15.75" x14ac:dyDescent="0.3">
      <c r="A181" s="2" t="s">
        <v>54</v>
      </c>
      <c r="B181" s="2" t="s">
        <v>55</v>
      </c>
      <c r="C181" s="2" t="s">
        <v>105</v>
      </c>
      <c r="D181" s="2" t="s">
        <v>674</v>
      </c>
      <c r="E181" s="2" t="s">
        <v>674</v>
      </c>
      <c r="F181" s="2" t="s">
        <v>675</v>
      </c>
      <c r="G181" s="2" t="s">
        <v>60</v>
      </c>
      <c r="H181" s="2" t="s">
        <v>61</v>
      </c>
      <c r="I181" s="2" t="s">
        <v>178</v>
      </c>
      <c r="J181" s="2" t="s">
        <v>178</v>
      </c>
      <c r="K181" s="2" t="s">
        <v>159</v>
      </c>
      <c r="L181" s="2" t="s">
        <v>1056</v>
      </c>
      <c r="M181" s="2">
        <v>4</v>
      </c>
      <c r="N181" s="2" t="s">
        <v>811</v>
      </c>
      <c r="O181" s="2" t="s">
        <v>812</v>
      </c>
      <c r="P181" s="2" t="s">
        <v>80</v>
      </c>
      <c r="Q181" s="2" t="s">
        <v>90</v>
      </c>
      <c r="R181" s="2" t="s">
        <v>91</v>
      </c>
      <c r="S181" s="2" t="s">
        <v>1057</v>
      </c>
      <c r="T181" s="2" t="s">
        <v>1058</v>
      </c>
      <c r="U181" s="2" t="s">
        <v>1059</v>
      </c>
      <c r="V181" s="2" t="s">
        <v>1058</v>
      </c>
      <c r="W181" s="2" t="s">
        <v>74</v>
      </c>
      <c r="X181" s="38">
        <v>26</v>
      </c>
      <c r="Y181" s="38">
        <v>17</v>
      </c>
      <c r="Z181" s="38">
        <v>9</v>
      </c>
      <c r="AA181" s="38">
        <v>22</v>
      </c>
      <c r="AB181" s="38">
        <v>14</v>
      </c>
      <c r="AC181" s="38">
        <v>8</v>
      </c>
      <c r="AD181" s="38">
        <v>3</v>
      </c>
      <c r="AE181" s="38">
        <v>2</v>
      </c>
      <c r="AF181" s="38">
        <v>1</v>
      </c>
      <c r="AG181" s="38">
        <v>0</v>
      </c>
      <c r="AH181" s="38">
        <v>0</v>
      </c>
      <c r="AI181" s="38">
        <v>0</v>
      </c>
      <c r="AJ181" s="38">
        <v>1</v>
      </c>
      <c r="AK181" s="37">
        <v>3.8461538461538463</v>
      </c>
      <c r="AL181" s="40">
        <f t="shared" si="8"/>
        <v>1</v>
      </c>
      <c r="AM181" s="37">
        <f t="shared" si="9"/>
        <v>5.8823529411764701</v>
      </c>
      <c r="AN181" s="40">
        <f t="shared" si="10"/>
        <v>0</v>
      </c>
      <c r="AO181" s="37">
        <f t="shared" si="11"/>
        <v>0</v>
      </c>
      <c r="AP181" s="38">
        <v>52</v>
      </c>
      <c r="AQ181" s="38">
        <v>34</v>
      </c>
      <c r="AR181" s="38">
        <v>18</v>
      </c>
      <c r="AS181" s="38">
        <v>33</v>
      </c>
      <c r="AT181" s="38">
        <v>22</v>
      </c>
      <c r="AU181" s="38">
        <v>11</v>
      </c>
      <c r="AV181" s="38">
        <v>8</v>
      </c>
      <c r="AW181" s="38">
        <v>5</v>
      </c>
      <c r="AX181" s="38">
        <v>3</v>
      </c>
      <c r="AY181" s="38">
        <v>30</v>
      </c>
      <c r="AZ181" s="38">
        <v>20</v>
      </c>
      <c r="BA181" s="38">
        <v>10</v>
      </c>
      <c r="BB181" s="38">
        <v>3</v>
      </c>
      <c r="BC181" s="37">
        <v>10</v>
      </c>
      <c r="BD181" s="40">
        <v>3</v>
      </c>
      <c r="BE181" s="37">
        <v>15</v>
      </c>
      <c r="BF181" s="40">
        <v>0</v>
      </c>
      <c r="BG181" s="37">
        <v>0</v>
      </c>
      <c r="BH181" s="38">
        <v>8</v>
      </c>
      <c r="BI181" s="38">
        <v>9</v>
      </c>
      <c r="BJ181" s="38">
        <v>6</v>
      </c>
      <c r="BK181" s="38">
        <v>3</v>
      </c>
      <c r="BL181" s="37">
        <v>88.888888888888886</v>
      </c>
      <c r="BM181" s="37">
        <v>83.333333333333343</v>
      </c>
      <c r="BN181" s="37">
        <v>100</v>
      </c>
      <c r="BO181" s="38">
        <v>16</v>
      </c>
      <c r="BP181" s="38">
        <v>7</v>
      </c>
      <c r="BQ181" s="38">
        <v>9</v>
      </c>
      <c r="BR181" s="37">
        <v>50</v>
      </c>
      <c r="BS181" s="37">
        <v>71.428571428571431</v>
      </c>
      <c r="BT181" s="37">
        <v>33.333333333333329</v>
      </c>
      <c r="BU181" s="2"/>
      <c r="BV181" s="2"/>
    </row>
    <row r="182" spans="1:74" ht="15.75" x14ac:dyDescent="0.3">
      <c r="A182" s="2" t="s">
        <v>54</v>
      </c>
      <c r="B182" s="2" t="s">
        <v>55</v>
      </c>
      <c r="C182" s="2" t="s">
        <v>56</v>
      </c>
      <c r="D182" s="2" t="s">
        <v>674</v>
      </c>
      <c r="E182" s="2" t="s">
        <v>674</v>
      </c>
      <c r="F182" s="2" t="s">
        <v>675</v>
      </c>
      <c r="G182" s="2" t="s">
        <v>60</v>
      </c>
      <c r="H182" s="2" t="s">
        <v>61</v>
      </c>
      <c r="I182" s="2" t="s">
        <v>62</v>
      </c>
      <c r="J182" s="2" t="s">
        <v>63</v>
      </c>
      <c r="K182" s="2" t="s">
        <v>559</v>
      </c>
      <c r="L182" s="2" t="s">
        <v>1060</v>
      </c>
      <c r="M182" s="2">
        <v>1</v>
      </c>
      <c r="N182" s="2" t="s">
        <v>1061</v>
      </c>
      <c r="O182" s="2" t="s">
        <v>1062</v>
      </c>
      <c r="P182" s="2" t="s">
        <v>935</v>
      </c>
      <c r="Q182" s="2" t="s">
        <v>69</v>
      </c>
      <c r="R182" s="2" t="s">
        <v>70</v>
      </c>
      <c r="S182" s="2" t="s">
        <v>1063</v>
      </c>
      <c r="T182" s="2" t="s">
        <v>1064</v>
      </c>
      <c r="U182" s="2" t="s">
        <v>1065</v>
      </c>
      <c r="V182" s="2" t="s">
        <v>1064</v>
      </c>
      <c r="W182" s="2" t="s">
        <v>84</v>
      </c>
      <c r="X182" s="38">
        <v>132</v>
      </c>
      <c r="Y182" s="38">
        <v>106</v>
      </c>
      <c r="Z182" s="38">
        <v>26</v>
      </c>
      <c r="AA182" s="38">
        <v>125</v>
      </c>
      <c r="AB182" s="38">
        <v>102</v>
      </c>
      <c r="AC182" s="38">
        <v>23</v>
      </c>
      <c r="AD182" s="38">
        <v>7</v>
      </c>
      <c r="AE182" s="38">
        <v>4</v>
      </c>
      <c r="AF182" s="38">
        <v>3</v>
      </c>
      <c r="AG182" s="38">
        <v>0</v>
      </c>
      <c r="AH182" s="38">
        <v>0</v>
      </c>
      <c r="AI182" s="38">
        <v>0</v>
      </c>
      <c r="AJ182" s="38">
        <v>0</v>
      </c>
      <c r="AK182" s="37">
        <v>0</v>
      </c>
      <c r="AL182" s="40">
        <f t="shared" si="8"/>
        <v>0</v>
      </c>
      <c r="AM182" s="37">
        <f t="shared" si="9"/>
        <v>0</v>
      </c>
      <c r="AN182" s="40">
        <f t="shared" si="10"/>
        <v>0</v>
      </c>
      <c r="AO182" s="37">
        <f t="shared" si="11"/>
        <v>0</v>
      </c>
      <c r="AP182" s="38">
        <v>50</v>
      </c>
      <c r="AQ182" s="38">
        <v>43</v>
      </c>
      <c r="AR182" s="38">
        <v>7</v>
      </c>
      <c r="AS182" s="38">
        <v>38</v>
      </c>
      <c r="AT182" s="38">
        <v>34</v>
      </c>
      <c r="AU182" s="38">
        <v>4</v>
      </c>
      <c r="AV182" s="38">
        <v>12</v>
      </c>
      <c r="AW182" s="38">
        <v>10</v>
      </c>
      <c r="AX182" s="38">
        <v>2</v>
      </c>
      <c r="AY182" s="38">
        <v>17</v>
      </c>
      <c r="AZ182" s="38">
        <v>13</v>
      </c>
      <c r="BA182" s="38">
        <v>4</v>
      </c>
      <c r="BB182" s="38">
        <v>-7</v>
      </c>
      <c r="BC182" s="37">
        <v>-41.17647058823529</v>
      </c>
      <c r="BD182" s="40">
        <v>-6</v>
      </c>
      <c r="BE182" s="37">
        <v>-46.153846153846153</v>
      </c>
      <c r="BF182" s="40">
        <v>-1</v>
      </c>
      <c r="BG182" s="37">
        <v>-25</v>
      </c>
      <c r="BH182" s="38">
        <v>12</v>
      </c>
      <c r="BI182" s="38">
        <v>0</v>
      </c>
      <c r="BJ182" s="38">
        <v>0</v>
      </c>
      <c r="BK182" s="38">
        <v>0</v>
      </c>
      <c r="BL182" s="42" t="s">
        <v>1860</v>
      </c>
      <c r="BM182" s="37" t="s">
        <v>1860</v>
      </c>
      <c r="BN182" s="37" t="s">
        <v>1860</v>
      </c>
      <c r="BO182" s="38">
        <v>40</v>
      </c>
      <c r="BP182" s="38">
        <v>35</v>
      </c>
      <c r="BQ182" s="38">
        <v>5</v>
      </c>
      <c r="BR182" s="37">
        <v>30</v>
      </c>
      <c r="BS182" s="37">
        <v>28.571428571428569</v>
      </c>
      <c r="BT182" s="37">
        <v>40</v>
      </c>
      <c r="BU182" s="2"/>
      <c r="BV182" s="2"/>
    </row>
    <row r="183" spans="1:74" ht="15.75" x14ac:dyDescent="0.3">
      <c r="A183" s="2" t="s">
        <v>54</v>
      </c>
      <c r="B183" s="2" t="s">
        <v>55</v>
      </c>
      <c r="C183" s="2" t="s">
        <v>105</v>
      </c>
      <c r="D183" s="2" t="s">
        <v>674</v>
      </c>
      <c r="E183" s="2" t="s">
        <v>674</v>
      </c>
      <c r="F183" s="2" t="s">
        <v>675</v>
      </c>
      <c r="G183" s="2" t="s">
        <v>60</v>
      </c>
      <c r="H183" s="2" t="s">
        <v>61</v>
      </c>
      <c r="I183" s="2" t="s">
        <v>62</v>
      </c>
      <c r="J183" s="2" t="s">
        <v>1003</v>
      </c>
      <c r="K183" s="2" t="s">
        <v>1004</v>
      </c>
      <c r="L183" s="2" t="s">
        <v>1066</v>
      </c>
      <c r="M183" s="2">
        <v>520</v>
      </c>
      <c r="N183" s="2" t="s">
        <v>990</v>
      </c>
      <c r="O183" s="2" t="s">
        <v>1067</v>
      </c>
      <c r="P183" s="2" t="s">
        <v>80</v>
      </c>
      <c r="Q183" s="2" t="s">
        <v>69</v>
      </c>
      <c r="R183" s="2" t="s">
        <v>70</v>
      </c>
      <c r="S183" s="2" t="s">
        <v>1068</v>
      </c>
      <c r="T183" s="2" t="s">
        <v>1069</v>
      </c>
      <c r="U183" s="2" t="s">
        <v>1070</v>
      </c>
      <c r="V183" s="2" t="s">
        <v>1069</v>
      </c>
      <c r="W183" s="2" t="s">
        <v>84</v>
      </c>
      <c r="X183" s="38">
        <v>45</v>
      </c>
      <c r="Y183" s="38">
        <v>32</v>
      </c>
      <c r="Z183" s="38">
        <v>13</v>
      </c>
      <c r="AA183" s="38">
        <v>39</v>
      </c>
      <c r="AB183" s="38">
        <v>27</v>
      </c>
      <c r="AC183" s="38">
        <v>12</v>
      </c>
      <c r="AD183" s="38">
        <v>0</v>
      </c>
      <c r="AE183" s="38">
        <v>0</v>
      </c>
      <c r="AF183" s="38">
        <v>0</v>
      </c>
      <c r="AG183" s="38">
        <v>0</v>
      </c>
      <c r="AH183" s="38">
        <v>0</v>
      </c>
      <c r="AI183" s="38">
        <v>0</v>
      </c>
      <c r="AJ183" s="38">
        <v>6</v>
      </c>
      <c r="AK183" s="37">
        <v>13.333333333333334</v>
      </c>
      <c r="AL183" s="40">
        <f t="shared" si="8"/>
        <v>5</v>
      </c>
      <c r="AM183" s="37">
        <f t="shared" si="9"/>
        <v>15.625</v>
      </c>
      <c r="AN183" s="40">
        <f t="shared" si="10"/>
        <v>1</v>
      </c>
      <c r="AO183" s="37">
        <f t="shared" si="11"/>
        <v>7.6923076923076925</v>
      </c>
      <c r="AP183" s="38">
        <v>56</v>
      </c>
      <c r="AQ183" s="38">
        <v>32</v>
      </c>
      <c r="AR183" s="38">
        <v>24</v>
      </c>
      <c r="AS183" s="38">
        <v>12</v>
      </c>
      <c r="AT183" s="38">
        <v>7</v>
      </c>
      <c r="AU183" s="38">
        <v>5</v>
      </c>
      <c r="AV183" s="38">
        <v>16</v>
      </c>
      <c r="AW183" s="38">
        <v>12</v>
      </c>
      <c r="AX183" s="38">
        <v>4</v>
      </c>
      <c r="AY183" s="38">
        <v>51</v>
      </c>
      <c r="AZ183" s="38">
        <v>37</v>
      </c>
      <c r="BA183" s="38">
        <v>14</v>
      </c>
      <c r="BB183" s="38">
        <v>-9</v>
      </c>
      <c r="BC183" s="37">
        <v>-17.647058823529413</v>
      </c>
      <c r="BD183" s="40">
        <v>0</v>
      </c>
      <c r="BE183" s="37">
        <v>0</v>
      </c>
      <c r="BF183" s="40">
        <v>-9</v>
      </c>
      <c r="BG183" s="37">
        <v>-64.285714285714292</v>
      </c>
      <c r="BH183" s="38">
        <v>16</v>
      </c>
      <c r="BI183" s="38">
        <v>28</v>
      </c>
      <c r="BJ183" s="38">
        <v>19</v>
      </c>
      <c r="BK183" s="38">
        <v>9</v>
      </c>
      <c r="BL183" s="37">
        <v>57.142857142857139</v>
      </c>
      <c r="BM183" s="37">
        <v>63.157894736842103</v>
      </c>
      <c r="BN183" s="37">
        <v>44.444444444444443</v>
      </c>
      <c r="BO183" s="38">
        <v>12</v>
      </c>
      <c r="BP183" s="38">
        <v>12</v>
      </c>
      <c r="BQ183" s="38">
        <v>0</v>
      </c>
      <c r="BR183" s="37">
        <v>133.33333333333331</v>
      </c>
      <c r="BS183" s="37">
        <v>100</v>
      </c>
      <c r="BT183" s="37" t="s">
        <v>1860</v>
      </c>
      <c r="BU183" s="2"/>
      <c r="BV183" s="2"/>
    </row>
    <row r="184" spans="1:74" ht="15.75" x14ac:dyDescent="0.3">
      <c r="A184" s="2" t="s">
        <v>54</v>
      </c>
      <c r="B184" s="2" t="s">
        <v>55</v>
      </c>
      <c r="C184" s="2" t="s">
        <v>105</v>
      </c>
      <c r="D184" s="2" t="s">
        <v>674</v>
      </c>
      <c r="E184" s="2" t="s">
        <v>674</v>
      </c>
      <c r="F184" s="2" t="s">
        <v>675</v>
      </c>
      <c r="G184" s="2" t="s">
        <v>60</v>
      </c>
      <c r="H184" s="2" t="s">
        <v>61</v>
      </c>
      <c r="I184" s="2" t="s">
        <v>62</v>
      </c>
      <c r="J184" s="2" t="s">
        <v>63</v>
      </c>
      <c r="K184" s="2" t="s">
        <v>1071</v>
      </c>
      <c r="L184" s="2" t="s">
        <v>1072</v>
      </c>
      <c r="M184" s="2">
        <v>23</v>
      </c>
      <c r="N184" s="2" t="s">
        <v>1073</v>
      </c>
      <c r="O184" s="2" t="s">
        <v>1074</v>
      </c>
      <c r="P184" s="2" t="s">
        <v>80</v>
      </c>
      <c r="Q184" s="2" t="s">
        <v>69</v>
      </c>
      <c r="R184" s="2" t="s">
        <v>70</v>
      </c>
      <c r="S184" s="2" t="s">
        <v>1075</v>
      </c>
      <c r="T184" s="2" t="s">
        <v>1076</v>
      </c>
      <c r="U184" s="2" t="s">
        <v>1077</v>
      </c>
      <c r="V184" s="2" t="s">
        <v>1076</v>
      </c>
      <c r="W184" s="2" t="s">
        <v>84</v>
      </c>
      <c r="X184" s="38">
        <v>34</v>
      </c>
      <c r="Y184" s="38">
        <v>18</v>
      </c>
      <c r="Z184" s="38">
        <v>16</v>
      </c>
      <c r="AA184" s="38">
        <v>28</v>
      </c>
      <c r="AB184" s="38">
        <v>15</v>
      </c>
      <c r="AC184" s="38">
        <v>13</v>
      </c>
      <c r="AD184" s="38">
        <v>3</v>
      </c>
      <c r="AE184" s="38">
        <v>0</v>
      </c>
      <c r="AF184" s="38">
        <v>3</v>
      </c>
      <c r="AG184" s="38">
        <v>0</v>
      </c>
      <c r="AH184" s="38">
        <v>0</v>
      </c>
      <c r="AI184" s="38">
        <v>0</v>
      </c>
      <c r="AJ184" s="38">
        <v>3</v>
      </c>
      <c r="AK184" s="37">
        <v>8.8235294117647065</v>
      </c>
      <c r="AL184" s="40">
        <f t="shared" si="8"/>
        <v>3</v>
      </c>
      <c r="AM184" s="37">
        <f t="shared" si="9"/>
        <v>16.666666666666664</v>
      </c>
      <c r="AN184" s="40">
        <f t="shared" si="10"/>
        <v>0</v>
      </c>
      <c r="AO184" s="37">
        <f t="shared" si="11"/>
        <v>0</v>
      </c>
      <c r="AP184" s="38">
        <v>32</v>
      </c>
      <c r="AQ184" s="38">
        <v>14</v>
      </c>
      <c r="AR184" s="38">
        <v>18</v>
      </c>
      <c r="AS184" s="38">
        <v>9</v>
      </c>
      <c r="AT184" s="38">
        <v>4</v>
      </c>
      <c r="AU184" s="38">
        <v>5</v>
      </c>
      <c r="AV184" s="38">
        <v>14</v>
      </c>
      <c r="AW184" s="38">
        <v>8</v>
      </c>
      <c r="AX184" s="38">
        <v>6</v>
      </c>
      <c r="AY184" s="38">
        <v>44</v>
      </c>
      <c r="AZ184" s="38">
        <v>24</v>
      </c>
      <c r="BA184" s="38">
        <v>20</v>
      </c>
      <c r="BB184" s="38">
        <v>7</v>
      </c>
      <c r="BC184" s="37">
        <v>15.909090909090908</v>
      </c>
      <c r="BD184" s="40">
        <v>6</v>
      </c>
      <c r="BE184" s="37">
        <v>25</v>
      </c>
      <c r="BF184" s="40">
        <v>1</v>
      </c>
      <c r="BG184" s="37">
        <v>5</v>
      </c>
      <c r="BH184" s="38">
        <v>14</v>
      </c>
      <c r="BI184" s="38">
        <v>23</v>
      </c>
      <c r="BJ184" s="38">
        <v>12</v>
      </c>
      <c r="BK184" s="38">
        <v>11</v>
      </c>
      <c r="BL184" s="37">
        <v>60.869565217391312</v>
      </c>
      <c r="BM184" s="37">
        <v>66.666666666666657</v>
      </c>
      <c r="BN184" s="37">
        <v>54.54545454545454</v>
      </c>
      <c r="BO184" s="38">
        <v>17</v>
      </c>
      <c r="BP184" s="38">
        <v>6</v>
      </c>
      <c r="BQ184" s="38">
        <v>11</v>
      </c>
      <c r="BR184" s="37">
        <v>82.35294117647058</v>
      </c>
      <c r="BS184" s="37">
        <v>133.33333333333331</v>
      </c>
      <c r="BT184" s="37">
        <v>54.54545454545454</v>
      </c>
      <c r="BU184" s="2"/>
      <c r="BV184" s="2"/>
    </row>
    <row r="185" spans="1:74" ht="15.75" x14ac:dyDescent="0.3">
      <c r="A185" s="2" t="s">
        <v>54</v>
      </c>
      <c r="B185" s="2" t="s">
        <v>55</v>
      </c>
      <c r="C185" s="2" t="s">
        <v>105</v>
      </c>
      <c r="D185" s="2" t="s">
        <v>674</v>
      </c>
      <c r="E185" s="2" t="s">
        <v>674</v>
      </c>
      <c r="F185" s="2" t="s">
        <v>675</v>
      </c>
      <c r="G185" s="2" t="s">
        <v>60</v>
      </c>
      <c r="H185" s="2" t="s">
        <v>61</v>
      </c>
      <c r="I185" s="2" t="s">
        <v>62</v>
      </c>
      <c r="J185" s="2" t="s">
        <v>63</v>
      </c>
      <c r="K185" s="2" t="s">
        <v>1078</v>
      </c>
      <c r="L185" s="2" t="s">
        <v>1079</v>
      </c>
      <c r="M185" s="2">
        <v>229</v>
      </c>
      <c r="N185" s="2" t="s">
        <v>1080</v>
      </c>
      <c r="O185" s="2" t="s">
        <v>1081</v>
      </c>
      <c r="P185" s="2" t="s">
        <v>1082</v>
      </c>
      <c r="Q185" s="2" t="s">
        <v>69</v>
      </c>
      <c r="R185" s="2" t="s">
        <v>70</v>
      </c>
      <c r="S185" s="2" t="s">
        <v>1083</v>
      </c>
      <c r="T185" s="2" t="s">
        <v>1084</v>
      </c>
      <c r="U185" s="2" t="s">
        <v>1085</v>
      </c>
      <c r="V185" s="2" t="s">
        <v>1084</v>
      </c>
      <c r="W185" s="2" t="s">
        <v>74</v>
      </c>
      <c r="X185" s="38">
        <v>692</v>
      </c>
      <c r="Y185" s="38">
        <v>299</v>
      </c>
      <c r="Z185" s="38">
        <v>393</v>
      </c>
      <c r="AA185" s="38">
        <v>549</v>
      </c>
      <c r="AB185" s="38">
        <v>226</v>
      </c>
      <c r="AC185" s="38">
        <v>323</v>
      </c>
      <c r="AD185" s="38">
        <v>21</v>
      </c>
      <c r="AE185" s="38">
        <v>9</v>
      </c>
      <c r="AF185" s="38">
        <v>12</v>
      </c>
      <c r="AG185" s="38">
        <v>0</v>
      </c>
      <c r="AH185" s="38">
        <v>0</v>
      </c>
      <c r="AI185" s="38">
        <v>0</v>
      </c>
      <c r="AJ185" s="38">
        <v>122</v>
      </c>
      <c r="AK185" s="37">
        <v>17.630057803468208</v>
      </c>
      <c r="AL185" s="40">
        <f t="shared" si="8"/>
        <v>64</v>
      </c>
      <c r="AM185" s="37">
        <f t="shared" si="9"/>
        <v>21.404682274247492</v>
      </c>
      <c r="AN185" s="40">
        <f t="shared" si="10"/>
        <v>58</v>
      </c>
      <c r="AO185" s="37">
        <f t="shared" si="11"/>
        <v>14.758269720101779</v>
      </c>
      <c r="AP185" s="38">
        <v>769</v>
      </c>
      <c r="AQ185" s="38">
        <v>331</v>
      </c>
      <c r="AR185" s="38">
        <v>438</v>
      </c>
      <c r="AS185" s="38">
        <v>307</v>
      </c>
      <c r="AT185" s="38">
        <v>129</v>
      </c>
      <c r="AU185" s="38">
        <v>178</v>
      </c>
      <c r="AV185" s="38">
        <v>163</v>
      </c>
      <c r="AW185" s="38">
        <v>61</v>
      </c>
      <c r="AX185" s="38">
        <v>102</v>
      </c>
      <c r="AY185" s="38">
        <v>682</v>
      </c>
      <c r="AZ185" s="38">
        <v>299</v>
      </c>
      <c r="BA185" s="38">
        <v>383</v>
      </c>
      <c r="BB185" s="38">
        <v>57</v>
      </c>
      <c r="BC185" s="37">
        <v>8.3577712609970671</v>
      </c>
      <c r="BD185" s="40">
        <v>36</v>
      </c>
      <c r="BE185" s="37">
        <v>12.040133779264215</v>
      </c>
      <c r="BF185" s="40">
        <v>21</v>
      </c>
      <c r="BG185" s="37">
        <v>5.4830287206266322</v>
      </c>
      <c r="BH185" s="38">
        <v>163</v>
      </c>
      <c r="BI185" s="38">
        <v>180</v>
      </c>
      <c r="BJ185" s="38">
        <v>71</v>
      </c>
      <c r="BK185" s="38">
        <v>109</v>
      </c>
      <c r="BL185" s="37">
        <v>90.555555555555557</v>
      </c>
      <c r="BM185" s="37">
        <v>85.91549295774648</v>
      </c>
      <c r="BN185" s="37">
        <v>93.577981651376149</v>
      </c>
      <c r="BO185" s="38">
        <v>197</v>
      </c>
      <c r="BP185" s="38">
        <v>84</v>
      </c>
      <c r="BQ185" s="38">
        <v>113</v>
      </c>
      <c r="BR185" s="37">
        <v>82.741116751269033</v>
      </c>
      <c r="BS185" s="37">
        <v>72.61904761904762</v>
      </c>
      <c r="BT185" s="37">
        <v>90.265486725663706</v>
      </c>
      <c r="BU185" s="2"/>
      <c r="BV185" s="2"/>
    </row>
    <row r="186" spans="1:74" ht="15.75" x14ac:dyDescent="0.3">
      <c r="A186" s="2" t="s">
        <v>54</v>
      </c>
      <c r="B186" s="2" t="s">
        <v>55</v>
      </c>
      <c r="C186" s="2" t="s">
        <v>56</v>
      </c>
      <c r="D186" s="2" t="s">
        <v>674</v>
      </c>
      <c r="E186" s="2" t="s">
        <v>674</v>
      </c>
      <c r="F186" s="2" t="s">
        <v>675</v>
      </c>
      <c r="G186" s="2" t="s">
        <v>60</v>
      </c>
      <c r="H186" s="2" t="s">
        <v>61</v>
      </c>
      <c r="I186" s="2" t="s">
        <v>62</v>
      </c>
      <c r="J186" s="2" t="s">
        <v>63</v>
      </c>
      <c r="K186" s="2" t="s">
        <v>1086</v>
      </c>
      <c r="L186" s="2" t="s">
        <v>1087</v>
      </c>
      <c r="M186" s="2">
        <v>901</v>
      </c>
      <c r="N186" s="2" t="s">
        <v>1088</v>
      </c>
      <c r="O186" s="2" t="s">
        <v>1089</v>
      </c>
      <c r="P186" s="2" t="s">
        <v>80</v>
      </c>
      <c r="Q186" s="2" t="s">
        <v>69</v>
      </c>
      <c r="R186" s="2" t="s">
        <v>70</v>
      </c>
      <c r="S186" s="2" t="s">
        <v>1090</v>
      </c>
      <c r="T186" s="2" t="s">
        <v>1091</v>
      </c>
      <c r="U186" s="2" t="s">
        <v>1092</v>
      </c>
      <c r="V186" s="2" t="s">
        <v>1091</v>
      </c>
      <c r="W186" s="2" t="s">
        <v>74</v>
      </c>
      <c r="X186" s="38">
        <v>18</v>
      </c>
      <c r="Y186" s="38">
        <v>5</v>
      </c>
      <c r="Z186" s="38">
        <v>13</v>
      </c>
      <c r="AA186" s="38">
        <v>18</v>
      </c>
      <c r="AB186" s="38">
        <v>5</v>
      </c>
      <c r="AC186" s="38">
        <v>13</v>
      </c>
      <c r="AD186" s="38">
        <v>0</v>
      </c>
      <c r="AE186" s="38">
        <v>0</v>
      </c>
      <c r="AF186" s="38">
        <v>0</v>
      </c>
      <c r="AG186" s="38">
        <v>0</v>
      </c>
      <c r="AH186" s="38">
        <v>0</v>
      </c>
      <c r="AI186" s="38">
        <v>0</v>
      </c>
      <c r="AJ186" s="38">
        <v>0</v>
      </c>
      <c r="AK186" s="37">
        <v>0</v>
      </c>
      <c r="AL186" s="40">
        <f t="shared" si="8"/>
        <v>0</v>
      </c>
      <c r="AM186" s="37">
        <f t="shared" si="9"/>
        <v>0</v>
      </c>
      <c r="AN186" s="40">
        <f t="shared" si="10"/>
        <v>0</v>
      </c>
      <c r="AO186" s="37">
        <f t="shared" si="11"/>
        <v>0</v>
      </c>
      <c r="AP186" s="38">
        <v>25</v>
      </c>
      <c r="AQ186" s="38">
        <v>10</v>
      </c>
      <c r="AR186" s="38">
        <v>15</v>
      </c>
      <c r="AS186" s="38">
        <v>16</v>
      </c>
      <c r="AT186" s="38">
        <v>7</v>
      </c>
      <c r="AU186" s="38">
        <v>9</v>
      </c>
      <c r="AV186" s="38">
        <v>7</v>
      </c>
      <c r="AW186" s="38">
        <v>0</v>
      </c>
      <c r="AX186" s="38">
        <v>7</v>
      </c>
      <c r="AY186" s="38">
        <v>18</v>
      </c>
      <c r="AZ186" s="38">
        <v>5</v>
      </c>
      <c r="BA186" s="38">
        <v>13</v>
      </c>
      <c r="BB186" s="38">
        <v>2</v>
      </c>
      <c r="BC186" s="37">
        <v>11.111111111111111</v>
      </c>
      <c r="BD186" s="40">
        <v>2</v>
      </c>
      <c r="BE186" s="37">
        <v>40</v>
      </c>
      <c r="BF186" s="40">
        <v>0</v>
      </c>
      <c r="BG186" s="37">
        <v>0</v>
      </c>
      <c r="BH186" s="38">
        <v>7</v>
      </c>
      <c r="BI186" s="38">
        <v>7</v>
      </c>
      <c r="BJ186" s="38">
        <v>0</v>
      </c>
      <c r="BK186" s="38">
        <v>7</v>
      </c>
      <c r="BL186" s="37">
        <v>100</v>
      </c>
      <c r="BM186" s="37" t="s">
        <v>1860</v>
      </c>
      <c r="BN186" s="37">
        <v>100</v>
      </c>
      <c r="BO186" s="38">
        <v>12</v>
      </c>
      <c r="BP186" s="38">
        <v>4</v>
      </c>
      <c r="BQ186" s="38">
        <v>8</v>
      </c>
      <c r="BR186" s="37">
        <v>58.333333333333336</v>
      </c>
      <c r="BS186" s="37">
        <v>0</v>
      </c>
      <c r="BT186" s="37">
        <v>87.5</v>
      </c>
      <c r="BU186" s="2"/>
      <c r="BV186" s="2"/>
    </row>
    <row r="187" spans="1:74" ht="15.75" x14ac:dyDescent="0.3">
      <c r="A187" s="2" t="s">
        <v>54</v>
      </c>
      <c r="B187" s="2" t="s">
        <v>55</v>
      </c>
      <c r="C187" s="2" t="s">
        <v>56</v>
      </c>
      <c r="D187" s="2" t="s">
        <v>674</v>
      </c>
      <c r="E187" s="2" t="s">
        <v>674</v>
      </c>
      <c r="F187" s="2" t="s">
        <v>739</v>
      </c>
      <c r="G187" s="2" t="s">
        <v>60</v>
      </c>
      <c r="H187" s="2" t="s">
        <v>61</v>
      </c>
      <c r="I187" s="2" t="s">
        <v>62</v>
      </c>
      <c r="J187" s="2" t="s">
        <v>63</v>
      </c>
      <c r="K187" s="2" t="s">
        <v>1093</v>
      </c>
      <c r="L187" s="2" t="s">
        <v>1094</v>
      </c>
      <c r="M187" s="2">
        <v>33</v>
      </c>
      <c r="N187" s="2" t="s">
        <v>1095</v>
      </c>
      <c r="O187" s="2" t="s">
        <v>1096</v>
      </c>
      <c r="P187" s="2" t="s">
        <v>80</v>
      </c>
      <c r="Q187" s="2" t="s">
        <v>69</v>
      </c>
      <c r="R187" s="2" t="s">
        <v>70</v>
      </c>
      <c r="S187" s="2" t="s">
        <v>1097</v>
      </c>
      <c r="T187" s="2" t="s">
        <v>1098</v>
      </c>
      <c r="U187" s="2" t="s">
        <v>1099</v>
      </c>
      <c r="V187" s="2" t="s">
        <v>1100</v>
      </c>
      <c r="W187" s="2" t="s">
        <v>74</v>
      </c>
      <c r="X187" s="38">
        <v>31</v>
      </c>
      <c r="Y187" s="38">
        <v>28</v>
      </c>
      <c r="Z187" s="38">
        <v>3</v>
      </c>
      <c r="AA187" s="38">
        <v>26</v>
      </c>
      <c r="AB187" s="38">
        <v>24</v>
      </c>
      <c r="AC187" s="38">
        <v>2</v>
      </c>
      <c r="AD187" s="38">
        <v>4</v>
      </c>
      <c r="AE187" s="38">
        <v>3</v>
      </c>
      <c r="AF187" s="38">
        <v>1</v>
      </c>
      <c r="AG187" s="38">
        <v>0</v>
      </c>
      <c r="AH187" s="38">
        <v>0</v>
      </c>
      <c r="AI187" s="38">
        <v>0</v>
      </c>
      <c r="AJ187" s="38">
        <v>1</v>
      </c>
      <c r="AK187" s="37">
        <v>3.225806451612903</v>
      </c>
      <c r="AL187" s="40">
        <f t="shared" si="8"/>
        <v>1</v>
      </c>
      <c r="AM187" s="37">
        <f t="shared" si="9"/>
        <v>3.5714285714285712</v>
      </c>
      <c r="AN187" s="40">
        <f t="shared" si="10"/>
        <v>0</v>
      </c>
      <c r="AO187" s="37">
        <f t="shared" si="11"/>
        <v>0</v>
      </c>
      <c r="AP187" s="38">
        <v>68</v>
      </c>
      <c r="AQ187" s="38">
        <v>62</v>
      </c>
      <c r="AR187" s="38">
        <v>6</v>
      </c>
      <c r="AS187" s="38">
        <v>68</v>
      </c>
      <c r="AT187" s="38">
        <v>62</v>
      </c>
      <c r="AU187" s="38">
        <v>6</v>
      </c>
      <c r="AV187" s="38">
        <v>17</v>
      </c>
      <c r="AW187" s="38">
        <v>17</v>
      </c>
      <c r="AX187" s="38">
        <v>0</v>
      </c>
      <c r="AY187" s="38">
        <v>46</v>
      </c>
      <c r="AZ187" s="38">
        <v>42</v>
      </c>
      <c r="BA187" s="38">
        <v>4</v>
      </c>
      <c r="BB187" s="38">
        <v>29</v>
      </c>
      <c r="BC187" s="37">
        <v>63.04347826086957</v>
      </c>
      <c r="BD187" s="40">
        <v>25</v>
      </c>
      <c r="BE187" s="37">
        <v>59.523809523809526</v>
      </c>
      <c r="BF187" s="40">
        <v>4</v>
      </c>
      <c r="BG187" s="37">
        <v>100</v>
      </c>
      <c r="BH187" s="38">
        <v>17</v>
      </c>
      <c r="BI187" s="38">
        <v>0</v>
      </c>
      <c r="BJ187" s="38">
        <v>0</v>
      </c>
      <c r="BK187" s="38">
        <v>0</v>
      </c>
      <c r="BL187" s="42" t="s">
        <v>1860</v>
      </c>
      <c r="BM187" s="37" t="s">
        <v>1860</v>
      </c>
      <c r="BN187" s="37" t="s">
        <v>1860</v>
      </c>
      <c r="BO187" s="38">
        <v>55</v>
      </c>
      <c r="BP187" s="38">
        <v>53</v>
      </c>
      <c r="BQ187" s="38">
        <v>2</v>
      </c>
      <c r="BR187" s="37">
        <v>30.909090909090907</v>
      </c>
      <c r="BS187" s="37">
        <v>32.075471698113205</v>
      </c>
      <c r="BT187" s="37">
        <v>0</v>
      </c>
      <c r="BU187" s="2"/>
      <c r="BV187" s="2"/>
    </row>
    <row r="188" spans="1:74" ht="15.75" x14ac:dyDescent="0.3">
      <c r="A188" s="2" t="s">
        <v>54</v>
      </c>
      <c r="B188" s="2" t="s">
        <v>55</v>
      </c>
      <c r="C188" s="2" t="s">
        <v>56</v>
      </c>
      <c r="D188" s="2" t="s">
        <v>674</v>
      </c>
      <c r="E188" s="2" t="s">
        <v>674</v>
      </c>
      <c r="F188" s="2" t="s">
        <v>675</v>
      </c>
      <c r="G188" s="2" t="s">
        <v>60</v>
      </c>
      <c r="H188" s="2" t="s">
        <v>61</v>
      </c>
      <c r="I188" s="2" t="s">
        <v>122</v>
      </c>
      <c r="J188" s="2" t="s">
        <v>884</v>
      </c>
      <c r="K188" s="2" t="s">
        <v>884</v>
      </c>
      <c r="L188" s="2" t="s">
        <v>1101</v>
      </c>
      <c r="M188" s="2">
        <v>2</v>
      </c>
      <c r="N188" s="2" t="s">
        <v>1102</v>
      </c>
      <c r="O188" s="2" t="s">
        <v>1103</v>
      </c>
      <c r="P188" s="2" t="s">
        <v>80</v>
      </c>
      <c r="Q188" s="2" t="s">
        <v>69</v>
      </c>
      <c r="R188" s="2" t="s">
        <v>70</v>
      </c>
      <c r="S188" s="2" t="s">
        <v>1104</v>
      </c>
      <c r="T188" s="2" t="s">
        <v>1105</v>
      </c>
      <c r="U188" s="2" t="s">
        <v>1106</v>
      </c>
      <c r="V188" s="2" t="s">
        <v>1105</v>
      </c>
      <c r="W188" s="2" t="s">
        <v>74</v>
      </c>
      <c r="X188" s="38">
        <v>19</v>
      </c>
      <c r="Y188" s="38">
        <v>15</v>
      </c>
      <c r="Z188" s="38">
        <v>4</v>
      </c>
      <c r="AA188" s="38">
        <v>19</v>
      </c>
      <c r="AB188" s="38">
        <v>15</v>
      </c>
      <c r="AC188" s="38">
        <v>4</v>
      </c>
      <c r="AD188" s="38">
        <v>0</v>
      </c>
      <c r="AE188" s="38">
        <v>0</v>
      </c>
      <c r="AF188" s="38">
        <v>0</v>
      </c>
      <c r="AG188" s="38">
        <v>0</v>
      </c>
      <c r="AH188" s="38">
        <v>0</v>
      </c>
      <c r="AI188" s="38">
        <v>0</v>
      </c>
      <c r="AJ188" s="38">
        <v>0</v>
      </c>
      <c r="AK188" s="37">
        <v>0</v>
      </c>
      <c r="AL188" s="40">
        <f t="shared" si="8"/>
        <v>0</v>
      </c>
      <c r="AM188" s="37">
        <f t="shared" si="9"/>
        <v>0</v>
      </c>
      <c r="AN188" s="40">
        <f t="shared" si="10"/>
        <v>0</v>
      </c>
      <c r="AO188" s="37">
        <f t="shared" si="11"/>
        <v>0</v>
      </c>
      <c r="AP188" s="38">
        <v>32</v>
      </c>
      <c r="AQ188" s="38">
        <v>24</v>
      </c>
      <c r="AR188" s="38">
        <v>8</v>
      </c>
      <c r="AS188" s="38">
        <v>15</v>
      </c>
      <c r="AT188" s="38">
        <v>11</v>
      </c>
      <c r="AU188" s="38">
        <v>4</v>
      </c>
      <c r="AV188" s="38">
        <v>0</v>
      </c>
      <c r="AW188" s="38">
        <v>0</v>
      </c>
      <c r="AX188" s="38">
        <v>0</v>
      </c>
      <c r="AY188" s="38">
        <v>19</v>
      </c>
      <c r="AZ188" s="38">
        <v>15</v>
      </c>
      <c r="BA188" s="38">
        <v>4</v>
      </c>
      <c r="BB188" s="38">
        <v>2</v>
      </c>
      <c r="BC188" s="37">
        <v>10.526315789473683</v>
      </c>
      <c r="BD188" s="40">
        <v>2</v>
      </c>
      <c r="BE188" s="37">
        <v>13.333333333333334</v>
      </c>
      <c r="BF188" s="40">
        <v>0</v>
      </c>
      <c r="BG188" s="37">
        <v>0</v>
      </c>
      <c r="BH188" s="38">
        <v>0</v>
      </c>
      <c r="BI188" s="38">
        <v>0</v>
      </c>
      <c r="BJ188" s="38">
        <v>0</v>
      </c>
      <c r="BK188" s="38">
        <v>0</v>
      </c>
      <c r="BL188" s="42" t="s">
        <v>1860</v>
      </c>
      <c r="BM188" s="37" t="s">
        <v>1860</v>
      </c>
      <c r="BN188" s="37" t="s">
        <v>1860</v>
      </c>
      <c r="BO188" s="38">
        <v>4</v>
      </c>
      <c r="BP188" s="38">
        <v>4</v>
      </c>
      <c r="BQ188" s="38">
        <v>0</v>
      </c>
      <c r="BR188" s="37">
        <v>0</v>
      </c>
      <c r="BS188" s="37">
        <v>0</v>
      </c>
      <c r="BT188" s="37" t="s">
        <v>1860</v>
      </c>
      <c r="BU188" s="2"/>
      <c r="BV188" s="2"/>
    </row>
    <row r="189" spans="1:74" ht="15.75" x14ac:dyDescent="0.3">
      <c r="A189" s="2" t="s">
        <v>54</v>
      </c>
      <c r="B189" s="2" t="s">
        <v>55</v>
      </c>
      <c r="C189" s="2" t="s">
        <v>56</v>
      </c>
      <c r="D189" s="2" t="s">
        <v>674</v>
      </c>
      <c r="E189" s="2" t="s">
        <v>674</v>
      </c>
      <c r="F189" s="2" t="s">
        <v>739</v>
      </c>
      <c r="G189" s="2" t="s">
        <v>60</v>
      </c>
      <c r="H189" s="2" t="s">
        <v>61</v>
      </c>
      <c r="I189" s="2" t="s">
        <v>62</v>
      </c>
      <c r="J189" s="2" t="s">
        <v>63</v>
      </c>
      <c r="K189" s="2" t="s">
        <v>768</v>
      </c>
      <c r="L189" s="2" t="s">
        <v>1107</v>
      </c>
      <c r="M189" s="2">
        <v>1412</v>
      </c>
      <c r="N189" s="2" t="s">
        <v>1108</v>
      </c>
      <c r="O189" s="2" t="s">
        <v>1109</v>
      </c>
      <c r="P189" s="2" t="s">
        <v>1110</v>
      </c>
      <c r="Q189" s="2" t="s">
        <v>69</v>
      </c>
      <c r="R189" s="2" t="s">
        <v>70</v>
      </c>
      <c r="S189" s="2" t="s">
        <v>1111</v>
      </c>
      <c r="T189" s="2" t="s">
        <v>1112</v>
      </c>
      <c r="U189" s="2" t="s">
        <v>1113</v>
      </c>
      <c r="V189" s="2" t="s">
        <v>1112</v>
      </c>
      <c r="W189" s="2" t="s">
        <v>74</v>
      </c>
      <c r="X189" s="38">
        <v>923</v>
      </c>
      <c r="Y189" s="38">
        <v>438</v>
      </c>
      <c r="Z189" s="38">
        <v>485</v>
      </c>
      <c r="AA189" s="38">
        <v>536</v>
      </c>
      <c r="AB189" s="38">
        <v>217</v>
      </c>
      <c r="AC189" s="38">
        <v>319</v>
      </c>
      <c r="AD189" s="38">
        <v>91</v>
      </c>
      <c r="AE189" s="38">
        <v>52</v>
      </c>
      <c r="AF189" s="38">
        <v>39</v>
      </c>
      <c r="AG189" s="38">
        <v>0</v>
      </c>
      <c r="AH189" s="38">
        <v>0</v>
      </c>
      <c r="AI189" s="38">
        <v>0</v>
      </c>
      <c r="AJ189" s="38">
        <v>296</v>
      </c>
      <c r="AK189" s="37">
        <v>32.069339111592633</v>
      </c>
      <c r="AL189" s="40">
        <f t="shared" si="8"/>
        <v>169</v>
      </c>
      <c r="AM189" s="37">
        <f t="shared" si="9"/>
        <v>38.584474885844749</v>
      </c>
      <c r="AN189" s="40">
        <f t="shared" si="10"/>
        <v>127</v>
      </c>
      <c r="AO189" s="37">
        <f t="shared" si="11"/>
        <v>26.185567010309281</v>
      </c>
      <c r="AP189" s="38">
        <v>1247</v>
      </c>
      <c r="AQ189" s="38">
        <v>577</v>
      </c>
      <c r="AR189" s="38">
        <v>670</v>
      </c>
      <c r="AS189" s="38">
        <v>832</v>
      </c>
      <c r="AT189" s="38">
        <v>366</v>
      </c>
      <c r="AU189" s="38">
        <v>466</v>
      </c>
      <c r="AV189" s="38">
        <v>298</v>
      </c>
      <c r="AW189" s="38">
        <v>126</v>
      </c>
      <c r="AX189" s="38">
        <v>172</v>
      </c>
      <c r="AY189" s="38">
        <v>1276</v>
      </c>
      <c r="AZ189" s="38">
        <v>613</v>
      </c>
      <c r="BA189" s="38">
        <v>663</v>
      </c>
      <c r="BB189" s="38">
        <v>563</v>
      </c>
      <c r="BC189" s="37">
        <v>44.122257053291534</v>
      </c>
      <c r="BD189" s="40">
        <v>276</v>
      </c>
      <c r="BE189" s="37">
        <v>45.02446982055465</v>
      </c>
      <c r="BF189" s="40">
        <v>287</v>
      </c>
      <c r="BG189" s="37">
        <v>43.288084464555055</v>
      </c>
      <c r="BH189" s="38">
        <v>298</v>
      </c>
      <c r="BI189" s="38">
        <v>386</v>
      </c>
      <c r="BJ189" s="38">
        <v>185</v>
      </c>
      <c r="BK189" s="38">
        <v>201</v>
      </c>
      <c r="BL189" s="37">
        <v>77.202072538860094</v>
      </c>
      <c r="BM189" s="37">
        <v>68.108108108108112</v>
      </c>
      <c r="BN189" s="37">
        <v>85.572139303482587</v>
      </c>
      <c r="BO189" s="38">
        <v>529</v>
      </c>
      <c r="BP189" s="38">
        <v>240</v>
      </c>
      <c r="BQ189" s="38">
        <v>289</v>
      </c>
      <c r="BR189" s="37">
        <v>56.332703213610593</v>
      </c>
      <c r="BS189" s="37">
        <v>52.5</v>
      </c>
      <c r="BT189" s="37">
        <v>59.515570934256054</v>
      </c>
      <c r="BU189" s="2"/>
      <c r="BV189" s="2"/>
    </row>
    <row r="190" spans="1:74" ht="15.75" x14ac:dyDescent="0.3">
      <c r="A190" s="2" t="s">
        <v>54</v>
      </c>
      <c r="B190" s="2" t="s">
        <v>55</v>
      </c>
      <c r="C190" s="2" t="s">
        <v>56</v>
      </c>
      <c r="D190" s="2" t="s">
        <v>674</v>
      </c>
      <c r="E190" s="2" t="s">
        <v>674</v>
      </c>
      <c r="F190" s="2" t="s">
        <v>739</v>
      </c>
      <c r="G190" s="2" t="s">
        <v>60</v>
      </c>
      <c r="H190" s="2" t="s">
        <v>61</v>
      </c>
      <c r="I190" s="2" t="s">
        <v>178</v>
      </c>
      <c r="J190" s="2" t="s">
        <v>178</v>
      </c>
      <c r="K190" s="2" t="s">
        <v>1114</v>
      </c>
      <c r="L190" s="2" t="s">
        <v>1115</v>
      </c>
      <c r="M190" s="2">
        <v>97</v>
      </c>
      <c r="N190" s="2" t="s">
        <v>1116</v>
      </c>
      <c r="O190" s="2" t="s">
        <v>1117</v>
      </c>
      <c r="P190" s="2" t="s">
        <v>80</v>
      </c>
      <c r="Q190" s="2" t="s">
        <v>90</v>
      </c>
      <c r="R190" s="2" t="s">
        <v>91</v>
      </c>
      <c r="S190" s="2" t="s">
        <v>1118</v>
      </c>
      <c r="T190" s="2" t="s">
        <v>1119</v>
      </c>
      <c r="U190" s="2" t="s">
        <v>1120</v>
      </c>
      <c r="V190" s="2" t="s">
        <v>1119</v>
      </c>
      <c r="W190" s="2" t="s">
        <v>74</v>
      </c>
      <c r="X190" s="38">
        <v>43</v>
      </c>
      <c r="Y190" s="38">
        <v>21</v>
      </c>
      <c r="Z190" s="38">
        <v>22</v>
      </c>
      <c r="AA190" s="38">
        <v>43</v>
      </c>
      <c r="AB190" s="38">
        <v>21</v>
      </c>
      <c r="AC190" s="38">
        <v>22</v>
      </c>
      <c r="AD190" s="38">
        <v>0</v>
      </c>
      <c r="AE190" s="38">
        <v>0</v>
      </c>
      <c r="AF190" s="38">
        <v>0</v>
      </c>
      <c r="AG190" s="38">
        <v>0</v>
      </c>
      <c r="AH190" s="38">
        <v>0</v>
      </c>
      <c r="AI190" s="38">
        <v>0</v>
      </c>
      <c r="AJ190" s="38">
        <v>0</v>
      </c>
      <c r="AK190" s="37">
        <v>0</v>
      </c>
      <c r="AL190" s="40">
        <f t="shared" si="8"/>
        <v>0</v>
      </c>
      <c r="AM190" s="37">
        <f t="shared" si="9"/>
        <v>0</v>
      </c>
      <c r="AN190" s="40">
        <f t="shared" si="10"/>
        <v>0</v>
      </c>
      <c r="AO190" s="37">
        <f t="shared" si="11"/>
        <v>0</v>
      </c>
      <c r="AP190" s="38">
        <v>59</v>
      </c>
      <c r="AQ190" s="38">
        <v>26</v>
      </c>
      <c r="AR190" s="38">
        <v>33</v>
      </c>
      <c r="AS190" s="38">
        <v>24</v>
      </c>
      <c r="AT190" s="38">
        <v>10</v>
      </c>
      <c r="AU190" s="38">
        <v>14</v>
      </c>
      <c r="AV190" s="38">
        <v>8</v>
      </c>
      <c r="AW190" s="38">
        <v>5</v>
      </c>
      <c r="AX190" s="38">
        <v>3</v>
      </c>
      <c r="AY190" s="38">
        <v>35</v>
      </c>
      <c r="AZ190" s="38">
        <v>16</v>
      </c>
      <c r="BA190" s="38">
        <v>19</v>
      </c>
      <c r="BB190" s="38">
        <v>-8</v>
      </c>
      <c r="BC190" s="37">
        <v>-22.857142857142858</v>
      </c>
      <c r="BD190" s="40">
        <v>-5</v>
      </c>
      <c r="BE190" s="37">
        <v>-31.25</v>
      </c>
      <c r="BF190" s="40">
        <v>-3</v>
      </c>
      <c r="BG190" s="37">
        <v>-15.789473684210526</v>
      </c>
      <c r="BH190" s="38">
        <v>8</v>
      </c>
      <c r="BI190" s="38">
        <v>12</v>
      </c>
      <c r="BJ190" s="38">
        <v>5</v>
      </c>
      <c r="BK190" s="38">
        <v>7</v>
      </c>
      <c r="BL190" s="37">
        <v>66.666666666666657</v>
      </c>
      <c r="BM190" s="37">
        <v>100</v>
      </c>
      <c r="BN190" s="37">
        <v>42.857142857142854</v>
      </c>
      <c r="BO190" s="38">
        <v>18</v>
      </c>
      <c r="BP190" s="38">
        <v>9</v>
      </c>
      <c r="BQ190" s="38">
        <v>9</v>
      </c>
      <c r="BR190" s="37">
        <v>44.444444444444443</v>
      </c>
      <c r="BS190" s="37">
        <v>55.555555555555557</v>
      </c>
      <c r="BT190" s="37">
        <v>33.333333333333329</v>
      </c>
      <c r="BU190" s="2"/>
      <c r="BV190" s="2"/>
    </row>
    <row r="191" spans="1:74" ht="15.75" x14ac:dyDescent="0.3">
      <c r="A191" s="2" t="s">
        <v>54</v>
      </c>
      <c r="B191" s="2" t="s">
        <v>55</v>
      </c>
      <c r="C191" s="2" t="s">
        <v>56</v>
      </c>
      <c r="D191" s="2" t="s">
        <v>674</v>
      </c>
      <c r="E191" s="2" t="s">
        <v>674</v>
      </c>
      <c r="F191" s="2" t="s">
        <v>739</v>
      </c>
      <c r="G191" s="2" t="s">
        <v>60</v>
      </c>
      <c r="H191" s="2" t="s">
        <v>61</v>
      </c>
      <c r="I191" s="2" t="s">
        <v>122</v>
      </c>
      <c r="J191" s="2" t="s">
        <v>884</v>
      </c>
      <c r="K191" s="2" t="s">
        <v>76</v>
      </c>
      <c r="L191" s="2" t="s">
        <v>1121</v>
      </c>
      <c r="M191" s="2">
        <v>700</v>
      </c>
      <c r="N191" s="2" t="s">
        <v>1122</v>
      </c>
      <c r="O191" s="2" t="s">
        <v>1123</v>
      </c>
      <c r="P191" s="2" t="s">
        <v>80</v>
      </c>
      <c r="Q191" s="2" t="s">
        <v>69</v>
      </c>
      <c r="R191" s="2" t="s">
        <v>70</v>
      </c>
      <c r="S191" s="2" t="s">
        <v>1124</v>
      </c>
      <c r="T191" s="2" t="s">
        <v>1125</v>
      </c>
      <c r="U191" s="2" t="s">
        <v>1126</v>
      </c>
      <c r="V191" s="2" t="s">
        <v>1125</v>
      </c>
      <c r="W191" s="2" t="s">
        <v>74</v>
      </c>
      <c r="X191" s="38">
        <v>34</v>
      </c>
      <c r="Y191" s="38">
        <v>23</v>
      </c>
      <c r="Z191" s="38">
        <v>11</v>
      </c>
      <c r="AA191" s="38">
        <v>29</v>
      </c>
      <c r="AB191" s="38">
        <v>18</v>
      </c>
      <c r="AC191" s="38">
        <v>11</v>
      </c>
      <c r="AD191" s="38">
        <v>1</v>
      </c>
      <c r="AE191" s="38">
        <v>1</v>
      </c>
      <c r="AF191" s="38">
        <v>0</v>
      </c>
      <c r="AG191" s="38">
        <v>0</v>
      </c>
      <c r="AH191" s="38">
        <v>0</v>
      </c>
      <c r="AI191" s="38">
        <v>0</v>
      </c>
      <c r="AJ191" s="38">
        <v>4</v>
      </c>
      <c r="AK191" s="37">
        <v>11.76470588235294</v>
      </c>
      <c r="AL191" s="40">
        <f t="shared" si="8"/>
        <v>4</v>
      </c>
      <c r="AM191" s="37">
        <f t="shared" si="9"/>
        <v>17.391304347826086</v>
      </c>
      <c r="AN191" s="40">
        <f t="shared" si="10"/>
        <v>0</v>
      </c>
      <c r="AO191" s="37">
        <f t="shared" si="11"/>
        <v>0</v>
      </c>
      <c r="AP191" s="38">
        <v>52</v>
      </c>
      <c r="AQ191" s="38">
        <v>32</v>
      </c>
      <c r="AR191" s="38">
        <v>20</v>
      </c>
      <c r="AS191" s="38">
        <v>18</v>
      </c>
      <c r="AT191" s="38">
        <v>9</v>
      </c>
      <c r="AU191" s="38">
        <v>9</v>
      </c>
      <c r="AV191" s="38">
        <v>26</v>
      </c>
      <c r="AW191" s="38">
        <v>15</v>
      </c>
      <c r="AX191" s="38">
        <v>11</v>
      </c>
      <c r="AY191" s="38">
        <v>74</v>
      </c>
      <c r="AZ191" s="38">
        <v>45</v>
      </c>
      <c r="BA191" s="38">
        <v>29</v>
      </c>
      <c r="BB191" s="38">
        <v>14</v>
      </c>
      <c r="BC191" s="37">
        <v>18.918918918918919</v>
      </c>
      <c r="BD191" s="40">
        <v>7</v>
      </c>
      <c r="BE191" s="37">
        <v>15.555555555555555</v>
      </c>
      <c r="BF191" s="40">
        <v>7</v>
      </c>
      <c r="BG191" s="37">
        <v>24.137931034482758</v>
      </c>
      <c r="BH191" s="38">
        <v>26</v>
      </c>
      <c r="BI191" s="38">
        <v>31</v>
      </c>
      <c r="BJ191" s="38">
        <v>15</v>
      </c>
      <c r="BK191" s="38">
        <v>16</v>
      </c>
      <c r="BL191" s="37">
        <v>83.870967741935488</v>
      </c>
      <c r="BM191" s="37">
        <v>100</v>
      </c>
      <c r="BN191" s="37">
        <v>68.75</v>
      </c>
      <c r="BO191" s="38">
        <v>45</v>
      </c>
      <c r="BP191" s="38">
        <v>22</v>
      </c>
      <c r="BQ191" s="38">
        <v>23</v>
      </c>
      <c r="BR191" s="37">
        <v>57.777777777777771</v>
      </c>
      <c r="BS191" s="37">
        <v>68.181818181818173</v>
      </c>
      <c r="BT191" s="37">
        <v>47.826086956521742</v>
      </c>
      <c r="BU191" s="2"/>
      <c r="BV191" s="2"/>
    </row>
    <row r="192" spans="1:74" ht="15.75" x14ac:dyDescent="0.3">
      <c r="A192" s="2" t="s">
        <v>54</v>
      </c>
      <c r="B192" s="2" t="s">
        <v>55</v>
      </c>
      <c r="C192" s="2" t="s">
        <v>105</v>
      </c>
      <c r="D192" s="2" t="s">
        <v>674</v>
      </c>
      <c r="E192" s="2" t="s">
        <v>674</v>
      </c>
      <c r="F192" s="2" t="s">
        <v>675</v>
      </c>
      <c r="G192" s="2" t="s">
        <v>60</v>
      </c>
      <c r="H192" s="2" t="s">
        <v>61</v>
      </c>
      <c r="I192" s="2" t="s">
        <v>62</v>
      </c>
      <c r="J192" s="2" t="s">
        <v>63</v>
      </c>
      <c r="K192" s="2" t="s">
        <v>1127</v>
      </c>
      <c r="L192" s="2" t="s">
        <v>1128</v>
      </c>
      <c r="M192" s="2">
        <v>64</v>
      </c>
      <c r="N192" s="2" t="s">
        <v>1129</v>
      </c>
      <c r="O192" s="2" t="s">
        <v>1130</v>
      </c>
      <c r="P192" s="2" t="s">
        <v>1131</v>
      </c>
      <c r="Q192" s="2" t="s">
        <v>69</v>
      </c>
      <c r="R192" s="2" t="s">
        <v>70</v>
      </c>
      <c r="S192" s="2" t="s">
        <v>1132</v>
      </c>
      <c r="T192" s="2" t="s">
        <v>1133</v>
      </c>
      <c r="U192" s="2" t="s">
        <v>1134</v>
      </c>
      <c r="V192" s="2" t="s">
        <v>1133</v>
      </c>
      <c r="W192" s="2" t="s">
        <v>74</v>
      </c>
      <c r="X192" s="38">
        <v>389</v>
      </c>
      <c r="Y192" s="38">
        <v>199</v>
      </c>
      <c r="Z192" s="38">
        <v>190</v>
      </c>
      <c r="AA192" s="38">
        <v>228</v>
      </c>
      <c r="AB192" s="38">
        <v>99</v>
      </c>
      <c r="AC192" s="38">
        <v>129</v>
      </c>
      <c r="AD192" s="38">
        <v>161</v>
      </c>
      <c r="AE192" s="38">
        <v>100</v>
      </c>
      <c r="AF192" s="38">
        <v>61</v>
      </c>
      <c r="AG192" s="38">
        <v>0</v>
      </c>
      <c r="AH192" s="38">
        <v>0</v>
      </c>
      <c r="AI192" s="38">
        <v>0</v>
      </c>
      <c r="AJ192" s="38">
        <v>0</v>
      </c>
      <c r="AK192" s="37">
        <v>0</v>
      </c>
      <c r="AL192" s="40">
        <f t="shared" si="8"/>
        <v>0</v>
      </c>
      <c r="AM192" s="37">
        <f t="shared" si="9"/>
        <v>0</v>
      </c>
      <c r="AN192" s="40">
        <f t="shared" si="10"/>
        <v>0</v>
      </c>
      <c r="AO192" s="37">
        <f t="shared" si="11"/>
        <v>0</v>
      </c>
      <c r="AP192" s="38">
        <v>366</v>
      </c>
      <c r="AQ192" s="38">
        <v>183</v>
      </c>
      <c r="AR192" s="38">
        <v>183</v>
      </c>
      <c r="AS192" s="38">
        <v>19</v>
      </c>
      <c r="AT192" s="38">
        <v>13</v>
      </c>
      <c r="AU192" s="38">
        <v>6</v>
      </c>
      <c r="AV192" s="38">
        <v>0</v>
      </c>
      <c r="AW192" s="38">
        <v>0</v>
      </c>
      <c r="AX192" s="38">
        <v>0</v>
      </c>
      <c r="AY192" s="38">
        <v>378</v>
      </c>
      <c r="AZ192" s="38">
        <v>221</v>
      </c>
      <c r="BA192" s="38">
        <v>157</v>
      </c>
      <c r="BB192" s="38">
        <v>31</v>
      </c>
      <c r="BC192" s="37">
        <v>8.2010582010582009</v>
      </c>
      <c r="BD192" s="40">
        <v>51</v>
      </c>
      <c r="BE192" s="37">
        <v>23.076923076923077</v>
      </c>
      <c r="BF192" s="40">
        <v>-20</v>
      </c>
      <c r="BG192" s="37">
        <v>-12.738853503184714</v>
      </c>
      <c r="BH192" s="38">
        <v>0</v>
      </c>
      <c r="BI192" s="38">
        <v>184</v>
      </c>
      <c r="BJ192" s="38">
        <v>101</v>
      </c>
      <c r="BK192" s="38">
        <v>83</v>
      </c>
      <c r="BL192" s="37">
        <v>0</v>
      </c>
      <c r="BM192" s="37">
        <v>0</v>
      </c>
      <c r="BN192" s="37">
        <v>0</v>
      </c>
      <c r="BO192" s="38">
        <v>34</v>
      </c>
      <c r="BP192" s="38">
        <v>22</v>
      </c>
      <c r="BQ192" s="38">
        <v>12</v>
      </c>
      <c r="BR192" s="37">
        <v>0</v>
      </c>
      <c r="BS192" s="37">
        <v>0</v>
      </c>
      <c r="BT192" s="37">
        <v>0</v>
      </c>
      <c r="BU192" s="2"/>
      <c r="BV192" s="2"/>
    </row>
    <row r="193" spans="1:74" ht="15.75" x14ac:dyDescent="0.3">
      <c r="A193" s="2" t="s">
        <v>54</v>
      </c>
      <c r="B193" s="2" t="s">
        <v>55</v>
      </c>
      <c r="C193" s="2" t="s">
        <v>105</v>
      </c>
      <c r="D193" s="2" t="s">
        <v>674</v>
      </c>
      <c r="E193" s="2" t="s">
        <v>674</v>
      </c>
      <c r="F193" s="2" t="s">
        <v>739</v>
      </c>
      <c r="G193" s="2" t="s">
        <v>60</v>
      </c>
      <c r="H193" s="2" t="s">
        <v>61</v>
      </c>
      <c r="I193" s="2" t="s">
        <v>62</v>
      </c>
      <c r="J193" s="2" t="s">
        <v>63</v>
      </c>
      <c r="K193" s="2" t="s">
        <v>1135</v>
      </c>
      <c r="L193" s="2" t="s">
        <v>1136</v>
      </c>
      <c r="M193" s="2">
        <v>7</v>
      </c>
      <c r="N193" s="2" t="s">
        <v>1137</v>
      </c>
      <c r="O193" s="2" t="s">
        <v>1138</v>
      </c>
      <c r="P193" s="2" t="s">
        <v>80</v>
      </c>
      <c r="Q193" s="2" t="s">
        <v>69</v>
      </c>
      <c r="R193" s="2" t="s">
        <v>70</v>
      </c>
      <c r="S193" s="2" t="s">
        <v>1139</v>
      </c>
      <c r="T193" s="2" t="s">
        <v>1140</v>
      </c>
      <c r="U193" s="2" t="s">
        <v>1141</v>
      </c>
      <c r="V193" s="2" t="s">
        <v>1140</v>
      </c>
      <c r="W193" s="2" t="s">
        <v>113</v>
      </c>
      <c r="X193" s="38">
        <v>22</v>
      </c>
      <c r="Y193" s="38">
        <v>15</v>
      </c>
      <c r="Z193" s="38">
        <v>7</v>
      </c>
      <c r="AA193" s="38">
        <v>22</v>
      </c>
      <c r="AB193" s="38">
        <v>15</v>
      </c>
      <c r="AC193" s="38">
        <v>7</v>
      </c>
      <c r="AD193" s="38">
        <v>0</v>
      </c>
      <c r="AE193" s="38">
        <v>0</v>
      </c>
      <c r="AF193" s="38">
        <v>0</v>
      </c>
      <c r="AG193" s="38">
        <v>0</v>
      </c>
      <c r="AH193" s="38">
        <v>0</v>
      </c>
      <c r="AI193" s="38">
        <v>0</v>
      </c>
      <c r="AJ193" s="38">
        <v>0</v>
      </c>
      <c r="AK193" s="37">
        <v>0</v>
      </c>
      <c r="AL193" s="40">
        <f t="shared" si="8"/>
        <v>0</v>
      </c>
      <c r="AM193" s="37">
        <f t="shared" si="9"/>
        <v>0</v>
      </c>
      <c r="AN193" s="40">
        <f t="shared" si="10"/>
        <v>0</v>
      </c>
      <c r="AO193" s="37">
        <f t="shared" si="11"/>
        <v>0</v>
      </c>
      <c r="AP193" s="38">
        <v>19</v>
      </c>
      <c r="AQ193" s="38">
        <v>13</v>
      </c>
      <c r="AR193" s="38">
        <v>6</v>
      </c>
      <c r="AS193" s="38">
        <v>5</v>
      </c>
      <c r="AT193" s="38">
        <v>2</v>
      </c>
      <c r="AU193" s="38">
        <v>3</v>
      </c>
      <c r="AV193" s="38">
        <v>6</v>
      </c>
      <c r="AW193" s="38">
        <v>2</v>
      </c>
      <c r="AX193" s="38">
        <v>4</v>
      </c>
      <c r="AY193" s="38">
        <v>24</v>
      </c>
      <c r="AZ193" s="38">
        <v>17</v>
      </c>
      <c r="BA193" s="38">
        <v>7</v>
      </c>
      <c r="BB193" s="38">
        <v>4</v>
      </c>
      <c r="BC193" s="37">
        <v>16.666666666666664</v>
      </c>
      <c r="BD193" s="40">
        <v>4</v>
      </c>
      <c r="BE193" s="37">
        <v>23.52941176470588</v>
      </c>
      <c r="BF193" s="40">
        <v>0</v>
      </c>
      <c r="BG193" s="37">
        <v>0</v>
      </c>
      <c r="BH193" s="38">
        <v>6</v>
      </c>
      <c r="BI193" s="38">
        <v>6</v>
      </c>
      <c r="BJ193" s="38">
        <v>2</v>
      </c>
      <c r="BK193" s="38">
        <v>4</v>
      </c>
      <c r="BL193" s="37">
        <v>100</v>
      </c>
      <c r="BM193" s="37">
        <v>100</v>
      </c>
      <c r="BN193" s="37">
        <v>100</v>
      </c>
      <c r="BO193" s="38">
        <v>4</v>
      </c>
      <c r="BP193" s="38">
        <v>2</v>
      </c>
      <c r="BQ193" s="38">
        <v>2</v>
      </c>
      <c r="BR193" s="37">
        <v>150</v>
      </c>
      <c r="BS193" s="37">
        <v>100</v>
      </c>
      <c r="BT193" s="37">
        <v>200</v>
      </c>
      <c r="BU193" s="2"/>
      <c r="BV193" s="2"/>
    </row>
    <row r="194" spans="1:74" ht="15.75" x14ac:dyDescent="0.3">
      <c r="A194" s="2" t="s">
        <v>54</v>
      </c>
      <c r="B194" s="2" t="s">
        <v>55</v>
      </c>
      <c r="C194" s="2" t="s">
        <v>105</v>
      </c>
      <c r="D194" s="2" t="s">
        <v>674</v>
      </c>
      <c r="E194" s="2" t="s">
        <v>674</v>
      </c>
      <c r="F194" s="2" t="s">
        <v>739</v>
      </c>
      <c r="G194" s="2" t="s">
        <v>60</v>
      </c>
      <c r="H194" s="2" t="s">
        <v>61</v>
      </c>
      <c r="I194" s="2" t="s">
        <v>62</v>
      </c>
      <c r="J194" s="2" t="s">
        <v>63</v>
      </c>
      <c r="K194" s="2" t="s">
        <v>1142</v>
      </c>
      <c r="L194" s="2" t="s">
        <v>1143</v>
      </c>
      <c r="M194" s="2">
        <v>701</v>
      </c>
      <c r="N194" s="2" t="s">
        <v>1144</v>
      </c>
      <c r="O194" s="2" t="s">
        <v>1145</v>
      </c>
      <c r="P194" s="2" t="s">
        <v>193</v>
      </c>
      <c r="Q194" s="2" t="s">
        <v>69</v>
      </c>
      <c r="R194" s="2" t="s">
        <v>70</v>
      </c>
      <c r="S194" s="2" t="s">
        <v>1146</v>
      </c>
      <c r="T194" s="2" t="s">
        <v>1147</v>
      </c>
      <c r="U194" s="2" t="s">
        <v>1148</v>
      </c>
      <c r="V194" s="2" t="s">
        <v>1147</v>
      </c>
      <c r="W194" s="2" t="s">
        <v>74</v>
      </c>
      <c r="X194" s="38">
        <v>278</v>
      </c>
      <c r="Y194" s="38">
        <v>120</v>
      </c>
      <c r="Z194" s="38">
        <v>158</v>
      </c>
      <c r="AA194" s="38">
        <v>237</v>
      </c>
      <c r="AB194" s="38">
        <v>96</v>
      </c>
      <c r="AC194" s="38">
        <v>141</v>
      </c>
      <c r="AD194" s="38">
        <v>41</v>
      </c>
      <c r="AE194" s="38">
        <v>24</v>
      </c>
      <c r="AF194" s="38">
        <v>17</v>
      </c>
      <c r="AG194" s="38">
        <v>0</v>
      </c>
      <c r="AH194" s="38">
        <v>0</v>
      </c>
      <c r="AI194" s="38">
        <v>0</v>
      </c>
      <c r="AJ194" s="38">
        <v>0</v>
      </c>
      <c r="AK194" s="37">
        <v>0</v>
      </c>
      <c r="AL194" s="40">
        <f t="shared" si="8"/>
        <v>0</v>
      </c>
      <c r="AM194" s="37">
        <f t="shared" si="9"/>
        <v>0</v>
      </c>
      <c r="AN194" s="40">
        <f t="shared" si="10"/>
        <v>0</v>
      </c>
      <c r="AO194" s="37">
        <f t="shared" si="11"/>
        <v>0</v>
      </c>
      <c r="AP194" s="38">
        <v>442</v>
      </c>
      <c r="AQ194" s="38">
        <v>204</v>
      </c>
      <c r="AR194" s="38">
        <v>238</v>
      </c>
      <c r="AS194" s="38">
        <v>256</v>
      </c>
      <c r="AT194" s="38">
        <v>129</v>
      </c>
      <c r="AU194" s="38">
        <v>127</v>
      </c>
      <c r="AV194" s="38">
        <v>111</v>
      </c>
      <c r="AW194" s="38">
        <v>53</v>
      </c>
      <c r="AX194" s="38">
        <v>58</v>
      </c>
      <c r="AY194" s="38">
        <v>378</v>
      </c>
      <c r="AZ194" s="38">
        <v>172</v>
      </c>
      <c r="BA194" s="38">
        <v>206</v>
      </c>
      <c r="BB194" s="38">
        <v>81</v>
      </c>
      <c r="BC194" s="37">
        <v>21.428571428571427</v>
      </c>
      <c r="BD194" s="40">
        <v>44</v>
      </c>
      <c r="BE194" s="37">
        <v>25.581395348837212</v>
      </c>
      <c r="BF194" s="40">
        <v>37</v>
      </c>
      <c r="BG194" s="37">
        <v>17.961165048543691</v>
      </c>
      <c r="BH194" s="38">
        <v>111</v>
      </c>
      <c r="BI194" s="38">
        <v>127</v>
      </c>
      <c r="BJ194" s="38">
        <v>61</v>
      </c>
      <c r="BK194" s="38">
        <v>66</v>
      </c>
      <c r="BL194" s="37">
        <v>87.4015748031496</v>
      </c>
      <c r="BM194" s="37">
        <v>86.885245901639337</v>
      </c>
      <c r="BN194" s="37">
        <v>87.878787878787875</v>
      </c>
      <c r="BO194" s="38">
        <v>171</v>
      </c>
      <c r="BP194" s="38">
        <v>82</v>
      </c>
      <c r="BQ194" s="38">
        <v>89</v>
      </c>
      <c r="BR194" s="37">
        <v>64.912280701754383</v>
      </c>
      <c r="BS194" s="37">
        <v>64.634146341463421</v>
      </c>
      <c r="BT194" s="37">
        <v>65.168539325842701</v>
      </c>
      <c r="BU194" s="2"/>
      <c r="BV194" s="2"/>
    </row>
    <row r="195" spans="1:74" ht="15.75" x14ac:dyDescent="0.3">
      <c r="A195" s="2" t="s">
        <v>54</v>
      </c>
      <c r="B195" s="2" t="s">
        <v>55</v>
      </c>
      <c r="C195" s="2" t="s">
        <v>105</v>
      </c>
      <c r="D195" s="2" t="s">
        <v>674</v>
      </c>
      <c r="E195" s="2" t="s">
        <v>674</v>
      </c>
      <c r="F195" s="2" t="s">
        <v>675</v>
      </c>
      <c r="G195" s="2" t="s">
        <v>60</v>
      </c>
      <c r="H195" s="2" t="s">
        <v>61</v>
      </c>
      <c r="I195" s="2" t="s">
        <v>62</v>
      </c>
      <c r="J195" s="2" t="s">
        <v>63</v>
      </c>
      <c r="K195" s="2" t="s">
        <v>1149</v>
      </c>
      <c r="L195" s="2" t="s">
        <v>1150</v>
      </c>
      <c r="M195" s="2">
        <v>105</v>
      </c>
      <c r="N195" s="2" t="s">
        <v>1151</v>
      </c>
      <c r="O195" s="2" t="s">
        <v>1152</v>
      </c>
      <c r="P195" s="2" t="s">
        <v>80</v>
      </c>
      <c r="Q195" s="2" t="s">
        <v>69</v>
      </c>
      <c r="R195" s="2" t="s">
        <v>70</v>
      </c>
      <c r="S195" s="2" t="s">
        <v>1153</v>
      </c>
      <c r="T195" s="2" t="s">
        <v>1154</v>
      </c>
      <c r="U195" s="2" t="s">
        <v>1155</v>
      </c>
      <c r="V195" s="2" t="s">
        <v>1154</v>
      </c>
      <c r="W195" s="2" t="s">
        <v>113</v>
      </c>
      <c r="X195" s="38">
        <v>46</v>
      </c>
      <c r="Y195" s="38">
        <v>29</v>
      </c>
      <c r="Z195" s="38">
        <v>17</v>
      </c>
      <c r="AA195" s="38">
        <v>46</v>
      </c>
      <c r="AB195" s="38">
        <v>29</v>
      </c>
      <c r="AC195" s="38">
        <v>17</v>
      </c>
      <c r="AD195" s="38">
        <v>0</v>
      </c>
      <c r="AE195" s="38">
        <v>0</v>
      </c>
      <c r="AF195" s="38">
        <v>0</v>
      </c>
      <c r="AG195" s="38">
        <v>0</v>
      </c>
      <c r="AH195" s="38">
        <v>0</v>
      </c>
      <c r="AI195" s="38">
        <v>0</v>
      </c>
      <c r="AJ195" s="38">
        <v>0</v>
      </c>
      <c r="AK195" s="37">
        <v>0</v>
      </c>
      <c r="AL195" s="40">
        <f t="shared" si="8"/>
        <v>0</v>
      </c>
      <c r="AM195" s="37">
        <f t="shared" si="9"/>
        <v>0</v>
      </c>
      <c r="AN195" s="40">
        <f t="shared" si="10"/>
        <v>0</v>
      </c>
      <c r="AO195" s="37">
        <f t="shared" si="11"/>
        <v>0</v>
      </c>
      <c r="AP195" s="38">
        <v>64</v>
      </c>
      <c r="AQ195" s="38">
        <v>40</v>
      </c>
      <c r="AR195" s="38">
        <v>24</v>
      </c>
      <c r="AS195" s="38">
        <v>37</v>
      </c>
      <c r="AT195" s="38">
        <v>22</v>
      </c>
      <c r="AU195" s="38">
        <v>15</v>
      </c>
      <c r="AV195" s="38">
        <v>20</v>
      </c>
      <c r="AW195" s="38">
        <v>12</v>
      </c>
      <c r="AX195" s="38">
        <v>8</v>
      </c>
      <c r="AY195" s="38">
        <v>60</v>
      </c>
      <c r="AZ195" s="38">
        <v>35</v>
      </c>
      <c r="BA195" s="38">
        <v>25</v>
      </c>
      <c r="BB195" s="38">
        <v>13</v>
      </c>
      <c r="BC195" s="37">
        <v>21.666666666666668</v>
      </c>
      <c r="BD195" s="40">
        <v>5</v>
      </c>
      <c r="BE195" s="37">
        <v>14.285714285714285</v>
      </c>
      <c r="BF195" s="40">
        <v>8</v>
      </c>
      <c r="BG195" s="37">
        <v>32</v>
      </c>
      <c r="BH195" s="38">
        <v>20</v>
      </c>
      <c r="BI195" s="38">
        <v>21</v>
      </c>
      <c r="BJ195" s="38">
        <v>11</v>
      </c>
      <c r="BK195" s="38">
        <v>10</v>
      </c>
      <c r="BL195" s="37">
        <v>95.238095238095227</v>
      </c>
      <c r="BM195" s="37">
        <v>109.09090909090908</v>
      </c>
      <c r="BN195" s="37">
        <v>80</v>
      </c>
      <c r="BO195" s="38">
        <v>24</v>
      </c>
      <c r="BP195" s="38">
        <v>14</v>
      </c>
      <c r="BQ195" s="38">
        <v>10</v>
      </c>
      <c r="BR195" s="37">
        <v>83.333333333333343</v>
      </c>
      <c r="BS195" s="37">
        <v>85.714285714285708</v>
      </c>
      <c r="BT195" s="37">
        <v>80</v>
      </c>
      <c r="BU195" s="2"/>
      <c r="BV195" s="2"/>
    </row>
    <row r="196" spans="1:74" ht="15.75" x14ac:dyDescent="0.3">
      <c r="A196" s="2" t="s">
        <v>54</v>
      </c>
      <c r="B196" s="2" t="s">
        <v>55</v>
      </c>
      <c r="C196" s="2" t="s">
        <v>56</v>
      </c>
      <c r="D196" s="2" t="s">
        <v>674</v>
      </c>
      <c r="E196" s="2" t="s">
        <v>674</v>
      </c>
      <c r="F196" s="2" t="s">
        <v>1156</v>
      </c>
      <c r="G196" s="2" t="s">
        <v>60</v>
      </c>
      <c r="H196" s="2" t="s">
        <v>61</v>
      </c>
      <c r="I196" s="2" t="s">
        <v>62</v>
      </c>
      <c r="J196" s="2" t="s">
        <v>63</v>
      </c>
      <c r="K196" s="2" t="s">
        <v>1157</v>
      </c>
      <c r="L196" s="2" t="s">
        <v>1158</v>
      </c>
      <c r="M196" s="2">
        <v>26501</v>
      </c>
      <c r="N196" s="2" t="s">
        <v>1159</v>
      </c>
      <c r="O196" s="2" t="s">
        <v>1160</v>
      </c>
      <c r="P196" s="2" t="s">
        <v>701</v>
      </c>
      <c r="Q196" s="2" t="s">
        <v>69</v>
      </c>
      <c r="R196" s="2" t="s">
        <v>70</v>
      </c>
      <c r="S196" s="2" t="s">
        <v>1161</v>
      </c>
      <c r="T196" s="2" t="s">
        <v>1162</v>
      </c>
      <c r="U196" s="2" t="s">
        <v>1163</v>
      </c>
      <c r="V196" s="2" t="s">
        <v>1162</v>
      </c>
      <c r="W196" s="2" t="s">
        <v>74</v>
      </c>
      <c r="X196" s="38">
        <v>56</v>
      </c>
      <c r="Y196" s="38">
        <v>29</v>
      </c>
      <c r="Z196" s="38">
        <v>27</v>
      </c>
      <c r="AA196" s="38">
        <v>56</v>
      </c>
      <c r="AB196" s="38">
        <v>29</v>
      </c>
      <c r="AC196" s="38">
        <v>27</v>
      </c>
      <c r="AD196" s="38">
        <v>0</v>
      </c>
      <c r="AE196" s="38">
        <v>0</v>
      </c>
      <c r="AF196" s="38">
        <v>0</v>
      </c>
      <c r="AG196" s="38">
        <v>0</v>
      </c>
      <c r="AH196" s="38">
        <v>0</v>
      </c>
      <c r="AI196" s="38">
        <v>0</v>
      </c>
      <c r="AJ196" s="38">
        <v>0</v>
      </c>
      <c r="AK196" s="37">
        <v>0</v>
      </c>
      <c r="AL196" s="40">
        <f t="shared" si="8"/>
        <v>0</v>
      </c>
      <c r="AM196" s="37">
        <f t="shared" si="9"/>
        <v>0</v>
      </c>
      <c r="AN196" s="40">
        <f t="shared" si="10"/>
        <v>0</v>
      </c>
      <c r="AO196" s="37">
        <f t="shared" si="11"/>
        <v>0</v>
      </c>
      <c r="AP196" s="38">
        <v>67</v>
      </c>
      <c r="AQ196" s="38">
        <v>34</v>
      </c>
      <c r="AR196" s="38">
        <v>33</v>
      </c>
      <c r="AS196" s="38">
        <v>24</v>
      </c>
      <c r="AT196" s="38">
        <v>12</v>
      </c>
      <c r="AU196" s="38">
        <v>12</v>
      </c>
      <c r="AV196" s="38">
        <v>56</v>
      </c>
      <c r="AW196" s="38">
        <v>29</v>
      </c>
      <c r="AX196" s="38">
        <v>27</v>
      </c>
      <c r="AY196" s="38">
        <v>57</v>
      </c>
      <c r="AZ196" s="38">
        <v>31</v>
      </c>
      <c r="BA196" s="38">
        <v>26</v>
      </c>
      <c r="BB196" s="38">
        <v>-42</v>
      </c>
      <c r="BC196" s="37">
        <v>-73.68421052631578</v>
      </c>
      <c r="BD196" s="40">
        <v>-20</v>
      </c>
      <c r="BE196" s="37">
        <v>-64.516129032258064</v>
      </c>
      <c r="BF196" s="40">
        <v>-22</v>
      </c>
      <c r="BG196" s="37">
        <v>-84.615384615384613</v>
      </c>
      <c r="BH196" s="38">
        <v>56</v>
      </c>
      <c r="BI196" s="38">
        <v>14</v>
      </c>
      <c r="BJ196" s="38">
        <v>7</v>
      </c>
      <c r="BK196" s="38">
        <v>7</v>
      </c>
      <c r="BL196" s="37">
        <v>400</v>
      </c>
      <c r="BM196" s="37">
        <v>414.28571428571433</v>
      </c>
      <c r="BN196" s="37">
        <v>385.71428571428572</v>
      </c>
      <c r="BO196" s="38">
        <v>16</v>
      </c>
      <c r="BP196" s="38">
        <v>8</v>
      </c>
      <c r="BQ196" s="38">
        <v>8</v>
      </c>
      <c r="BR196" s="37">
        <v>350</v>
      </c>
      <c r="BS196" s="37">
        <v>362.5</v>
      </c>
      <c r="BT196" s="37">
        <v>337.5</v>
      </c>
      <c r="BU196" s="2"/>
      <c r="BV196" s="2"/>
    </row>
    <row r="197" spans="1:74" ht="15.75" x14ac:dyDescent="0.3">
      <c r="A197" s="2" t="s">
        <v>54</v>
      </c>
      <c r="B197" s="2" t="s">
        <v>55</v>
      </c>
      <c r="C197" s="2" t="s">
        <v>105</v>
      </c>
      <c r="D197" s="2" t="s">
        <v>674</v>
      </c>
      <c r="E197" s="2" t="s">
        <v>674</v>
      </c>
      <c r="F197" s="2" t="s">
        <v>675</v>
      </c>
      <c r="G197" s="2" t="s">
        <v>60</v>
      </c>
      <c r="H197" s="2" t="s">
        <v>61</v>
      </c>
      <c r="I197" s="2" t="s">
        <v>62</v>
      </c>
      <c r="J197" s="2" t="s">
        <v>63</v>
      </c>
      <c r="K197" s="2" t="s">
        <v>159</v>
      </c>
      <c r="L197" s="2" t="s">
        <v>306</v>
      </c>
      <c r="M197" s="2">
        <v>171</v>
      </c>
      <c r="N197" s="2" t="s">
        <v>1164</v>
      </c>
      <c r="O197" s="2" t="s">
        <v>1165</v>
      </c>
      <c r="P197" s="2" t="s">
        <v>80</v>
      </c>
      <c r="Q197" s="2" t="s">
        <v>69</v>
      </c>
      <c r="R197" s="2" t="s">
        <v>70</v>
      </c>
      <c r="S197" s="2" t="s">
        <v>1166</v>
      </c>
      <c r="T197" s="2" t="s">
        <v>1167</v>
      </c>
      <c r="U197" s="2" t="s">
        <v>1168</v>
      </c>
      <c r="V197" s="2" t="s">
        <v>1167</v>
      </c>
      <c r="W197" s="2" t="s">
        <v>74</v>
      </c>
      <c r="X197" s="38">
        <v>74</v>
      </c>
      <c r="Y197" s="38">
        <v>43</v>
      </c>
      <c r="Z197" s="38">
        <v>31</v>
      </c>
      <c r="AA197" s="38">
        <v>62</v>
      </c>
      <c r="AB197" s="38">
        <v>35</v>
      </c>
      <c r="AC197" s="38">
        <v>27</v>
      </c>
      <c r="AD197" s="38">
        <v>12</v>
      </c>
      <c r="AE197" s="38">
        <v>8</v>
      </c>
      <c r="AF197" s="38">
        <v>4</v>
      </c>
      <c r="AG197" s="38">
        <v>0</v>
      </c>
      <c r="AH197" s="38">
        <v>0</v>
      </c>
      <c r="AI197" s="38">
        <v>0</v>
      </c>
      <c r="AJ197" s="38">
        <v>0</v>
      </c>
      <c r="AK197" s="37">
        <v>0</v>
      </c>
      <c r="AL197" s="40">
        <f t="shared" si="8"/>
        <v>0</v>
      </c>
      <c r="AM197" s="37">
        <f t="shared" si="9"/>
        <v>0</v>
      </c>
      <c r="AN197" s="40">
        <f t="shared" si="10"/>
        <v>0</v>
      </c>
      <c r="AO197" s="37">
        <f t="shared" si="11"/>
        <v>0</v>
      </c>
      <c r="AP197" s="38">
        <v>74</v>
      </c>
      <c r="AQ197" s="38">
        <v>43</v>
      </c>
      <c r="AR197" s="38">
        <v>31</v>
      </c>
      <c r="AS197" s="38">
        <v>28</v>
      </c>
      <c r="AT197" s="38">
        <v>16</v>
      </c>
      <c r="AU197" s="38">
        <v>12</v>
      </c>
      <c r="AV197" s="38">
        <v>14</v>
      </c>
      <c r="AW197" s="38">
        <v>9</v>
      </c>
      <c r="AX197" s="38">
        <v>5</v>
      </c>
      <c r="AY197" s="38">
        <v>44</v>
      </c>
      <c r="AZ197" s="38">
        <v>27</v>
      </c>
      <c r="BA197" s="38">
        <v>17</v>
      </c>
      <c r="BB197" s="38">
        <v>-16</v>
      </c>
      <c r="BC197" s="37">
        <v>-36.363636363636367</v>
      </c>
      <c r="BD197" s="40">
        <v>-9</v>
      </c>
      <c r="BE197" s="37">
        <v>-33.333333333333329</v>
      </c>
      <c r="BF197" s="40">
        <v>-7</v>
      </c>
      <c r="BG197" s="37">
        <v>-41.17647058823529</v>
      </c>
      <c r="BH197" s="38">
        <v>14</v>
      </c>
      <c r="BI197" s="38">
        <v>17</v>
      </c>
      <c r="BJ197" s="38">
        <v>11</v>
      </c>
      <c r="BK197" s="38">
        <v>6</v>
      </c>
      <c r="BL197" s="37">
        <v>82.35294117647058</v>
      </c>
      <c r="BM197" s="37">
        <v>81.818181818181827</v>
      </c>
      <c r="BN197" s="37">
        <v>83.333333333333343</v>
      </c>
      <c r="BO197" s="38">
        <v>18</v>
      </c>
      <c r="BP197" s="38">
        <v>13</v>
      </c>
      <c r="BQ197" s="38">
        <v>5</v>
      </c>
      <c r="BR197" s="37">
        <v>77.777777777777786</v>
      </c>
      <c r="BS197" s="37">
        <v>69.230769230769226</v>
      </c>
      <c r="BT197" s="37">
        <v>100</v>
      </c>
      <c r="BU197" s="2"/>
      <c r="BV197" s="2"/>
    </row>
    <row r="198" spans="1:74" ht="15.75" x14ac:dyDescent="0.3">
      <c r="A198" s="2" t="s">
        <v>54</v>
      </c>
      <c r="B198" s="2" t="s">
        <v>55</v>
      </c>
      <c r="C198" s="2" t="s">
        <v>105</v>
      </c>
      <c r="D198" s="2" t="s">
        <v>674</v>
      </c>
      <c r="E198" s="2" t="s">
        <v>674</v>
      </c>
      <c r="F198" s="2" t="s">
        <v>739</v>
      </c>
      <c r="G198" s="2" t="s">
        <v>60</v>
      </c>
      <c r="H198" s="2" t="s">
        <v>61</v>
      </c>
      <c r="I198" s="2" t="s">
        <v>157</v>
      </c>
      <c r="J198" s="2" t="s">
        <v>158</v>
      </c>
      <c r="K198" s="2" t="s">
        <v>1169</v>
      </c>
      <c r="L198" s="2" t="s">
        <v>1170</v>
      </c>
      <c r="M198" s="2">
        <v>81</v>
      </c>
      <c r="N198" s="2" t="s">
        <v>1171</v>
      </c>
      <c r="O198" s="2" t="s">
        <v>1172</v>
      </c>
      <c r="P198" s="2" t="s">
        <v>80</v>
      </c>
      <c r="Q198" s="2" t="s">
        <v>69</v>
      </c>
      <c r="R198" s="2" t="s">
        <v>70</v>
      </c>
      <c r="S198" s="2" t="s">
        <v>1173</v>
      </c>
      <c r="T198" s="2" t="s">
        <v>1174</v>
      </c>
      <c r="U198" s="2" t="s">
        <v>1175</v>
      </c>
      <c r="V198" s="2" t="s">
        <v>1174</v>
      </c>
      <c r="W198" s="2" t="s">
        <v>84</v>
      </c>
      <c r="X198" s="38">
        <v>79</v>
      </c>
      <c r="Y198" s="38">
        <v>47</v>
      </c>
      <c r="Z198" s="38">
        <v>32</v>
      </c>
      <c r="AA198" s="38">
        <v>72</v>
      </c>
      <c r="AB198" s="38">
        <v>41</v>
      </c>
      <c r="AC198" s="38">
        <v>31</v>
      </c>
      <c r="AD198" s="38">
        <v>7</v>
      </c>
      <c r="AE198" s="38">
        <v>6</v>
      </c>
      <c r="AF198" s="38">
        <v>1</v>
      </c>
      <c r="AG198" s="38">
        <v>0</v>
      </c>
      <c r="AH198" s="38">
        <v>0</v>
      </c>
      <c r="AI198" s="38">
        <v>0</v>
      </c>
      <c r="AJ198" s="38">
        <v>0</v>
      </c>
      <c r="AK198" s="37">
        <v>0</v>
      </c>
      <c r="AL198" s="40">
        <f t="shared" si="8"/>
        <v>0</v>
      </c>
      <c r="AM198" s="37">
        <f t="shared" si="9"/>
        <v>0</v>
      </c>
      <c r="AN198" s="40">
        <f t="shared" si="10"/>
        <v>0</v>
      </c>
      <c r="AO198" s="37">
        <f t="shared" si="11"/>
        <v>0</v>
      </c>
      <c r="AP198" s="38">
        <v>86</v>
      </c>
      <c r="AQ198" s="38">
        <v>49</v>
      </c>
      <c r="AR198" s="38">
        <v>37</v>
      </c>
      <c r="AS198" s="38">
        <v>27</v>
      </c>
      <c r="AT198" s="38">
        <v>14</v>
      </c>
      <c r="AU198" s="38">
        <v>13</v>
      </c>
      <c r="AV198" s="38">
        <v>26</v>
      </c>
      <c r="AW198" s="38">
        <v>12</v>
      </c>
      <c r="AX198" s="38">
        <v>14</v>
      </c>
      <c r="AY198" s="38">
        <v>84</v>
      </c>
      <c r="AZ198" s="38">
        <v>48</v>
      </c>
      <c r="BA198" s="38">
        <v>36</v>
      </c>
      <c r="BB198" s="38">
        <v>-1</v>
      </c>
      <c r="BC198" s="37">
        <v>-1.1904761904761905</v>
      </c>
      <c r="BD198" s="40">
        <v>1</v>
      </c>
      <c r="BE198" s="37">
        <v>2.083333333333333</v>
      </c>
      <c r="BF198" s="40">
        <v>-2</v>
      </c>
      <c r="BG198" s="37">
        <v>-5.5555555555555554</v>
      </c>
      <c r="BH198" s="38">
        <v>26</v>
      </c>
      <c r="BI198" s="38">
        <v>27</v>
      </c>
      <c r="BJ198" s="38">
        <v>12</v>
      </c>
      <c r="BK198" s="38">
        <v>15</v>
      </c>
      <c r="BL198" s="37">
        <v>96.296296296296291</v>
      </c>
      <c r="BM198" s="37">
        <v>100</v>
      </c>
      <c r="BN198" s="37">
        <v>93.333333333333329</v>
      </c>
      <c r="BO198" s="38">
        <v>16</v>
      </c>
      <c r="BP198" s="38">
        <v>7</v>
      </c>
      <c r="BQ198" s="38">
        <v>9</v>
      </c>
      <c r="BR198" s="37">
        <v>162.5</v>
      </c>
      <c r="BS198" s="37">
        <v>171.42857142857142</v>
      </c>
      <c r="BT198" s="37">
        <v>155.55555555555557</v>
      </c>
      <c r="BU198" s="2"/>
      <c r="BV198" s="2"/>
    </row>
    <row r="199" spans="1:74" ht="15.75" x14ac:dyDescent="0.3">
      <c r="A199" s="2" t="s">
        <v>54</v>
      </c>
      <c r="B199" s="2" t="s">
        <v>55</v>
      </c>
      <c r="C199" s="2" t="s">
        <v>56</v>
      </c>
      <c r="D199" s="2" t="s">
        <v>674</v>
      </c>
      <c r="E199" s="2" t="s">
        <v>674</v>
      </c>
      <c r="F199" s="2" t="s">
        <v>739</v>
      </c>
      <c r="G199" s="2" t="s">
        <v>60</v>
      </c>
      <c r="H199" s="2" t="s">
        <v>61</v>
      </c>
      <c r="I199" s="2" t="s">
        <v>122</v>
      </c>
      <c r="J199" s="2" t="s">
        <v>740</v>
      </c>
      <c r="K199" s="2" t="s">
        <v>1176</v>
      </c>
      <c r="L199" s="2" t="s">
        <v>1177</v>
      </c>
      <c r="M199" s="2">
        <v>9</v>
      </c>
      <c r="N199" s="2" t="s">
        <v>1178</v>
      </c>
      <c r="O199" s="2" t="s">
        <v>1179</v>
      </c>
      <c r="P199" s="2" t="s">
        <v>80</v>
      </c>
      <c r="Q199" s="2" t="s">
        <v>69</v>
      </c>
      <c r="R199" s="2" t="s">
        <v>70</v>
      </c>
      <c r="S199" s="2" t="s">
        <v>1180</v>
      </c>
      <c r="T199" s="2" t="s">
        <v>1181</v>
      </c>
      <c r="U199" s="2" t="s">
        <v>1182</v>
      </c>
      <c r="V199" s="2" t="s">
        <v>1181</v>
      </c>
      <c r="W199" s="2" t="s">
        <v>84</v>
      </c>
      <c r="X199" s="38">
        <v>47</v>
      </c>
      <c r="Y199" s="38">
        <v>24</v>
      </c>
      <c r="Z199" s="38">
        <v>23</v>
      </c>
      <c r="AA199" s="38">
        <v>47</v>
      </c>
      <c r="AB199" s="38">
        <v>24</v>
      </c>
      <c r="AC199" s="38">
        <v>23</v>
      </c>
      <c r="AD199" s="38">
        <v>0</v>
      </c>
      <c r="AE199" s="38">
        <v>0</v>
      </c>
      <c r="AF199" s="38">
        <v>0</v>
      </c>
      <c r="AG199" s="38">
        <v>0</v>
      </c>
      <c r="AH199" s="38">
        <v>0</v>
      </c>
      <c r="AI199" s="38">
        <v>0</v>
      </c>
      <c r="AJ199" s="38">
        <v>0</v>
      </c>
      <c r="AK199" s="37">
        <v>0</v>
      </c>
      <c r="AL199" s="40">
        <f t="shared" si="8"/>
        <v>0</v>
      </c>
      <c r="AM199" s="37">
        <f t="shared" si="9"/>
        <v>0</v>
      </c>
      <c r="AN199" s="40">
        <f t="shared" si="10"/>
        <v>0</v>
      </c>
      <c r="AO199" s="37">
        <f t="shared" si="11"/>
        <v>0</v>
      </c>
      <c r="AP199" s="38">
        <v>63</v>
      </c>
      <c r="AQ199" s="38">
        <v>35</v>
      </c>
      <c r="AR199" s="38">
        <v>28</v>
      </c>
      <c r="AS199" s="38">
        <v>31</v>
      </c>
      <c r="AT199" s="38">
        <v>16</v>
      </c>
      <c r="AU199" s="38">
        <v>15</v>
      </c>
      <c r="AV199" s="38">
        <v>15</v>
      </c>
      <c r="AW199" s="38">
        <v>5</v>
      </c>
      <c r="AX199" s="38">
        <v>10</v>
      </c>
      <c r="AY199" s="38">
        <v>44</v>
      </c>
      <c r="AZ199" s="38">
        <v>21</v>
      </c>
      <c r="BA199" s="38">
        <v>23</v>
      </c>
      <c r="BB199" s="38">
        <v>-3</v>
      </c>
      <c r="BC199" s="37">
        <v>-6.8181818181818175</v>
      </c>
      <c r="BD199" s="40">
        <v>-3</v>
      </c>
      <c r="BE199" s="37">
        <v>-14.285714285714285</v>
      </c>
      <c r="BF199" s="40">
        <v>0</v>
      </c>
      <c r="BG199" s="37">
        <v>0</v>
      </c>
      <c r="BH199" s="38">
        <v>15</v>
      </c>
      <c r="BI199" s="38">
        <v>15</v>
      </c>
      <c r="BJ199" s="38">
        <v>5</v>
      </c>
      <c r="BK199" s="38">
        <v>10</v>
      </c>
      <c r="BL199" s="37">
        <v>100</v>
      </c>
      <c r="BM199" s="37">
        <v>100</v>
      </c>
      <c r="BN199" s="37">
        <v>100</v>
      </c>
      <c r="BO199" s="38">
        <v>14</v>
      </c>
      <c r="BP199" s="38">
        <v>2</v>
      </c>
      <c r="BQ199" s="38">
        <v>12</v>
      </c>
      <c r="BR199" s="37">
        <v>107.14285714285714</v>
      </c>
      <c r="BS199" s="37">
        <v>250</v>
      </c>
      <c r="BT199" s="37">
        <v>83.333333333333343</v>
      </c>
      <c r="BU199" s="2"/>
      <c r="BV199" s="2"/>
    </row>
    <row r="200" spans="1:74" ht="15.75" x14ac:dyDescent="0.3">
      <c r="A200" s="2" t="s">
        <v>54</v>
      </c>
      <c r="B200" s="2" t="s">
        <v>55</v>
      </c>
      <c r="C200" s="2" t="s">
        <v>105</v>
      </c>
      <c r="D200" s="2" t="s">
        <v>674</v>
      </c>
      <c r="E200" s="2" t="s">
        <v>674</v>
      </c>
      <c r="F200" s="2" t="s">
        <v>739</v>
      </c>
      <c r="G200" s="2" t="s">
        <v>60</v>
      </c>
      <c r="H200" s="2" t="s">
        <v>61</v>
      </c>
      <c r="I200" s="2" t="s">
        <v>62</v>
      </c>
      <c r="J200" s="2" t="s">
        <v>63</v>
      </c>
      <c r="K200" s="2" t="s">
        <v>1183</v>
      </c>
      <c r="L200" s="2" t="s">
        <v>1184</v>
      </c>
      <c r="M200" s="2">
        <v>24</v>
      </c>
      <c r="N200" s="2" t="s">
        <v>1185</v>
      </c>
      <c r="O200" s="2" t="s">
        <v>1186</v>
      </c>
      <c r="P200" s="2" t="s">
        <v>80</v>
      </c>
      <c r="Q200" s="2" t="s">
        <v>69</v>
      </c>
      <c r="R200" s="2" t="s">
        <v>70</v>
      </c>
      <c r="S200" s="2" t="s">
        <v>1187</v>
      </c>
      <c r="T200" s="2" t="s">
        <v>1188</v>
      </c>
      <c r="U200" s="2" t="s">
        <v>1189</v>
      </c>
      <c r="V200" s="2" t="s">
        <v>1188</v>
      </c>
      <c r="W200" s="2" t="s">
        <v>84</v>
      </c>
      <c r="X200" s="38">
        <v>66</v>
      </c>
      <c r="Y200" s="38">
        <v>34</v>
      </c>
      <c r="Z200" s="38">
        <v>32</v>
      </c>
      <c r="AA200" s="38">
        <v>66</v>
      </c>
      <c r="AB200" s="38">
        <v>34</v>
      </c>
      <c r="AC200" s="38">
        <v>32</v>
      </c>
      <c r="AD200" s="38">
        <v>0</v>
      </c>
      <c r="AE200" s="38">
        <v>0</v>
      </c>
      <c r="AF200" s="38">
        <v>0</v>
      </c>
      <c r="AG200" s="38">
        <v>0</v>
      </c>
      <c r="AH200" s="38">
        <v>0</v>
      </c>
      <c r="AI200" s="38">
        <v>0</v>
      </c>
      <c r="AJ200" s="38">
        <v>0</v>
      </c>
      <c r="AK200" s="37">
        <v>0</v>
      </c>
      <c r="AL200" s="40">
        <f t="shared" si="8"/>
        <v>0</v>
      </c>
      <c r="AM200" s="37">
        <f t="shared" si="9"/>
        <v>0</v>
      </c>
      <c r="AN200" s="40">
        <f t="shared" si="10"/>
        <v>0</v>
      </c>
      <c r="AO200" s="37">
        <f t="shared" si="11"/>
        <v>0</v>
      </c>
      <c r="AP200" s="38">
        <v>113</v>
      </c>
      <c r="AQ200" s="38">
        <v>60</v>
      </c>
      <c r="AR200" s="38">
        <v>53</v>
      </c>
      <c r="AS200" s="38">
        <v>73</v>
      </c>
      <c r="AT200" s="38">
        <v>41</v>
      </c>
      <c r="AU200" s="38">
        <v>32</v>
      </c>
      <c r="AV200" s="38">
        <v>24</v>
      </c>
      <c r="AW200" s="38">
        <v>14</v>
      </c>
      <c r="AX200" s="38">
        <v>10</v>
      </c>
      <c r="AY200" s="38">
        <v>70</v>
      </c>
      <c r="AZ200" s="38">
        <v>37</v>
      </c>
      <c r="BA200" s="38">
        <v>33</v>
      </c>
      <c r="BB200" s="38">
        <v>6</v>
      </c>
      <c r="BC200" s="37">
        <v>8.5714285714285712</v>
      </c>
      <c r="BD200" s="40">
        <v>4</v>
      </c>
      <c r="BE200" s="37">
        <v>10.810810810810811</v>
      </c>
      <c r="BF200" s="40">
        <v>2</v>
      </c>
      <c r="BG200" s="37">
        <v>6.0606060606060606</v>
      </c>
      <c r="BH200" s="38">
        <v>24</v>
      </c>
      <c r="BI200" s="38">
        <v>40</v>
      </c>
      <c r="BJ200" s="38">
        <v>21</v>
      </c>
      <c r="BK200" s="38">
        <v>19</v>
      </c>
      <c r="BL200" s="37">
        <v>60</v>
      </c>
      <c r="BM200" s="37">
        <v>66.666666666666657</v>
      </c>
      <c r="BN200" s="37">
        <v>52.631578947368418</v>
      </c>
      <c r="BO200" s="38">
        <v>32</v>
      </c>
      <c r="BP200" s="38">
        <v>18</v>
      </c>
      <c r="BQ200" s="38">
        <v>14</v>
      </c>
      <c r="BR200" s="37">
        <v>75</v>
      </c>
      <c r="BS200" s="37">
        <v>77.777777777777786</v>
      </c>
      <c r="BT200" s="37">
        <v>71.428571428571431</v>
      </c>
      <c r="BU200" s="2"/>
      <c r="BV200" s="2"/>
    </row>
    <row r="201" spans="1:74" ht="15.75" x14ac:dyDescent="0.3">
      <c r="A201" s="2" t="s">
        <v>54</v>
      </c>
      <c r="B201" s="2" t="s">
        <v>55</v>
      </c>
      <c r="C201" s="2" t="s">
        <v>56</v>
      </c>
      <c r="D201" s="2" t="s">
        <v>674</v>
      </c>
      <c r="E201" s="2" t="s">
        <v>674</v>
      </c>
      <c r="F201" s="2" t="s">
        <v>739</v>
      </c>
      <c r="G201" s="2" t="s">
        <v>60</v>
      </c>
      <c r="H201" s="2" t="s">
        <v>61</v>
      </c>
      <c r="I201" s="2" t="s">
        <v>178</v>
      </c>
      <c r="J201" s="2" t="s">
        <v>178</v>
      </c>
      <c r="K201" s="2" t="s">
        <v>159</v>
      </c>
      <c r="L201" s="2" t="s">
        <v>1190</v>
      </c>
      <c r="M201" s="2">
        <v>97</v>
      </c>
      <c r="N201" s="2" t="s">
        <v>1191</v>
      </c>
      <c r="O201" s="2" t="s">
        <v>1192</v>
      </c>
      <c r="P201" s="2" t="s">
        <v>80</v>
      </c>
      <c r="Q201" s="2" t="s">
        <v>90</v>
      </c>
      <c r="R201" s="2" t="s">
        <v>91</v>
      </c>
      <c r="S201" s="2" t="s">
        <v>1193</v>
      </c>
      <c r="T201" s="2" t="s">
        <v>1194</v>
      </c>
      <c r="U201" s="2" t="s">
        <v>1195</v>
      </c>
      <c r="V201" s="2" t="s">
        <v>1194</v>
      </c>
      <c r="W201" s="2" t="s">
        <v>84</v>
      </c>
      <c r="X201" s="38">
        <v>45</v>
      </c>
      <c r="Y201" s="38">
        <v>28</v>
      </c>
      <c r="Z201" s="38">
        <v>17</v>
      </c>
      <c r="AA201" s="38">
        <v>45</v>
      </c>
      <c r="AB201" s="38">
        <v>28</v>
      </c>
      <c r="AC201" s="38">
        <v>17</v>
      </c>
      <c r="AD201" s="38">
        <v>0</v>
      </c>
      <c r="AE201" s="38">
        <v>0</v>
      </c>
      <c r="AF201" s="38">
        <v>0</v>
      </c>
      <c r="AG201" s="38">
        <v>0</v>
      </c>
      <c r="AH201" s="38">
        <v>0</v>
      </c>
      <c r="AI201" s="38">
        <v>0</v>
      </c>
      <c r="AJ201" s="38">
        <v>0</v>
      </c>
      <c r="AK201" s="37">
        <v>0</v>
      </c>
      <c r="AL201" s="40">
        <f t="shared" si="8"/>
        <v>0</v>
      </c>
      <c r="AM201" s="37">
        <f t="shared" si="9"/>
        <v>0</v>
      </c>
      <c r="AN201" s="40">
        <f t="shared" si="10"/>
        <v>0</v>
      </c>
      <c r="AO201" s="37">
        <f t="shared" si="11"/>
        <v>0</v>
      </c>
      <c r="AP201" s="38">
        <v>56</v>
      </c>
      <c r="AQ201" s="38">
        <v>32</v>
      </c>
      <c r="AR201" s="38">
        <v>24</v>
      </c>
      <c r="AS201" s="38">
        <v>29</v>
      </c>
      <c r="AT201" s="38">
        <v>16</v>
      </c>
      <c r="AU201" s="38">
        <v>13</v>
      </c>
      <c r="AV201" s="38">
        <v>45</v>
      </c>
      <c r="AW201" s="38">
        <v>28</v>
      </c>
      <c r="AX201" s="38">
        <v>17</v>
      </c>
      <c r="AY201" s="38">
        <v>56</v>
      </c>
      <c r="AZ201" s="38">
        <v>30</v>
      </c>
      <c r="BA201" s="38">
        <v>26</v>
      </c>
      <c r="BB201" s="38">
        <v>-16</v>
      </c>
      <c r="BC201" s="37">
        <v>-28.571428571428569</v>
      </c>
      <c r="BD201" s="40">
        <v>-14</v>
      </c>
      <c r="BE201" s="37">
        <v>-46.666666666666664</v>
      </c>
      <c r="BF201" s="40">
        <v>-2</v>
      </c>
      <c r="BG201" s="37">
        <v>-7.6923076923076925</v>
      </c>
      <c r="BH201" s="38">
        <v>45</v>
      </c>
      <c r="BI201" s="38">
        <v>31</v>
      </c>
      <c r="BJ201" s="38">
        <v>15</v>
      </c>
      <c r="BK201" s="38">
        <v>16</v>
      </c>
      <c r="BL201" s="37">
        <v>145.16129032258064</v>
      </c>
      <c r="BM201" s="37">
        <v>186.66666666666666</v>
      </c>
      <c r="BN201" s="37">
        <v>106.25</v>
      </c>
      <c r="BO201" s="38">
        <v>38</v>
      </c>
      <c r="BP201" s="38">
        <v>21</v>
      </c>
      <c r="BQ201" s="38">
        <v>17</v>
      </c>
      <c r="BR201" s="37">
        <v>118.42105263157893</v>
      </c>
      <c r="BS201" s="37">
        <v>133.33333333333331</v>
      </c>
      <c r="BT201" s="37">
        <v>100</v>
      </c>
      <c r="BU201" s="2"/>
      <c r="BV201" s="2"/>
    </row>
    <row r="202" spans="1:74" ht="15.75" x14ac:dyDescent="0.3">
      <c r="A202" s="2" t="s">
        <v>54</v>
      </c>
      <c r="B202" s="2" t="s">
        <v>55</v>
      </c>
      <c r="C202" s="2" t="s">
        <v>56</v>
      </c>
      <c r="D202" s="2" t="s">
        <v>674</v>
      </c>
      <c r="E202" s="2" t="s">
        <v>674</v>
      </c>
      <c r="F202" s="2" t="s">
        <v>675</v>
      </c>
      <c r="G202" s="2" t="s">
        <v>60</v>
      </c>
      <c r="H202" s="2" t="s">
        <v>61</v>
      </c>
      <c r="I202" s="2" t="s">
        <v>85</v>
      </c>
      <c r="J202" s="2" t="s">
        <v>85</v>
      </c>
      <c r="K202" s="2" t="s">
        <v>1196</v>
      </c>
      <c r="L202" s="2" t="s">
        <v>1197</v>
      </c>
      <c r="M202" s="2">
        <v>9</v>
      </c>
      <c r="N202" s="2" t="s">
        <v>1198</v>
      </c>
      <c r="O202" s="2" t="s">
        <v>1199</v>
      </c>
      <c r="P202" s="2" t="s">
        <v>80</v>
      </c>
      <c r="Q202" s="2" t="s">
        <v>90</v>
      </c>
      <c r="R202" s="2" t="s">
        <v>91</v>
      </c>
      <c r="S202" s="2" t="s">
        <v>1200</v>
      </c>
      <c r="T202" s="2" t="s">
        <v>1201</v>
      </c>
      <c r="U202" s="2" t="s">
        <v>1202</v>
      </c>
      <c r="V202" s="2" t="s">
        <v>1201</v>
      </c>
      <c r="W202" s="2" t="s">
        <v>74</v>
      </c>
      <c r="X202" s="38">
        <v>108</v>
      </c>
      <c r="Y202" s="38">
        <v>55</v>
      </c>
      <c r="Z202" s="38">
        <v>53</v>
      </c>
      <c r="AA202" s="38">
        <v>102</v>
      </c>
      <c r="AB202" s="38">
        <v>53</v>
      </c>
      <c r="AC202" s="38">
        <v>49</v>
      </c>
      <c r="AD202" s="38">
        <v>0</v>
      </c>
      <c r="AE202" s="38">
        <v>0</v>
      </c>
      <c r="AF202" s="38">
        <v>0</v>
      </c>
      <c r="AG202" s="38">
        <v>0</v>
      </c>
      <c r="AH202" s="38">
        <v>0</v>
      </c>
      <c r="AI202" s="38">
        <v>0</v>
      </c>
      <c r="AJ202" s="38">
        <v>6</v>
      </c>
      <c r="AK202" s="37">
        <v>5.5555555555555554</v>
      </c>
      <c r="AL202" s="40">
        <f t="shared" si="8"/>
        <v>2</v>
      </c>
      <c r="AM202" s="37">
        <f t="shared" si="9"/>
        <v>3.6363636363636362</v>
      </c>
      <c r="AN202" s="40">
        <f t="shared" si="10"/>
        <v>4</v>
      </c>
      <c r="AO202" s="37">
        <f t="shared" si="11"/>
        <v>7.5471698113207548</v>
      </c>
      <c r="AP202" s="38">
        <v>106</v>
      </c>
      <c r="AQ202" s="38">
        <v>51</v>
      </c>
      <c r="AR202" s="38">
        <v>55</v>
      </c>
      <c r="AS202" s="38">
        <v>40</v>
      </c>
      <c r="AT202" s="38">
        <v>23</v>
      </c>
      <c r="AU202" s="38">
        <v>17</v>
      </c>
      <c r="AV202" s="38">
        <v>32</v>
      </c>
      <c r="AW202" s="38">
        <v>21</v>
      </c>
      <c r="AX202" s="38">
        <v>11</v>
      </c>
      <c r="AY202" s="38">
        <v>107</v>
      </c>
      <c r="AZ202" s="38">
        <v>54</v>
      </c>
      <c r="BA202" s="38">
        <v>53</v>
      </c>
      <c r="BB202" s="38">
        <v>9</v>
      </c>
      <c r="BC202" s="37">
        <v>8.4112149532710276</v>
      </c>
      <c r="BD202" s="40">
        <v>5</v>
      </c>
      <c r="BE202" s="37">
        <v>9.2592592592592595</v>
      </c>
      <c r="BF202" s="40">
        <v>4</v>
      </c>
      <c r="BG202" s="37">
        <v>7.5471698113207548</v>
      </c>
      <c r="BH202" s="38">
        <v>32</v>
      </c>
      <c r="BI202" s="38">
        <v>37</v>
      </c>
      <c r="BJ202" s="38">
        <v>23</v>
      </c>
      <c r="BK202" s="38">
        <v>14</v>
      </c>
      <c r="BL202" s="37">
        <v>86.486486486486484</v>
      </c>
      <c r="BM202" s="37">
        <v>91.304347826086953</v>
      </c>
      <c r="BN202" s="37">
        <v>78.571428571428569</v>
      </c>
      <c r="BO202" s="38">
        <v>44</v>
      </c>
      <c r="BP202" s="38">
        <v>30</v>
      </c>
      <c r="BQ202" s="38">
        <v>14</v>
      </c>
      <c r="BR202" s="37">
        <v>72.727272727272734</v>
      </c>
      <c r="BS202" s="37">
        <v>70</v>
      </c>
      <c r="BT202" s="37">
        <v>78.571428571428569</v>
      </c>
      <c r="BU202" s="2"/>
      <c r="BV202" s="2"/>
    </row>
    <row r="203" spans="1:74" ht="15.75" x14ac:dyDescent="0.3">
      <c r="A203" s="2" t="s">
        <v>54</v>
      </c>
      <c r="B203" s="2" t="s">
        <v>55</v>
      </c>
      <c r="C203" s="2" t="s">
        <v>105</v>
      </c>
      <c r="D203" s="2" t="s">
        <v>674</v>
      </c>
      <c r="E203" s="2" t="s">
        <v>674</v>
      </c>
      <c r="F203" s="2" t="s">
        <v>675</v>
      </c>
      <c r="G203" s="2" t="s">
        <v>60</v>
      </c>
      <c r="H203" s="2" t="s">
        <v>61</v>
      </c>
      <c r="I203" s="2" t="s">
        <v>62</v>
      </c>
      <c r="J203" s="2" t="s">
        <v>63</v>
      </c>
      <c r="K203" s="2" t="s">
        <v>159</v>
      </c>
      <c r="L203" s="2" t="s">
        <v>1203</v>
      </c>
      <c r="M203" s="2">
        <v>11</v>
      </c>
      <c r="N203" s="2" t="s">
        <v>1204</v>
      </c>
      <c r="O203" s="2" t="s">
        <v>1205</v>
      </c>
      <c r="P203" s="2" t="s">
        <v>80</v>
      </c>
      <c r="Q203" s="2" t="s">
        <v>69</v>
      </c>
      <c r="R203" s="2" t="s">
        <v>70</v>
      </c>
      <c r="S203" s="2" t="s">
        <v>1206</v>
      </c>
      <c r="T203" s="2" t="s">
        <v>1207</v>
      </c>
      <c r="U203" s="2" t="s">
        <v>1208</v>
      </c>
      <c r="V203" s="2" t="s">
        <v>1207</v>
      </c>
      <c r="W203" s="2" t="s">
        <v>74</v>
      </c>
      <c r="X203" s="38">
        <v>37</v>
      </c>
      <c r="Y203" s="38">
        <v>25</v>
      </c>
      <c r="Z203" s="38">
        <v>12</v>
      </c>
      <c r="AA203" s="38">
        <v>37</v>
      </c>
      <c r="AB203" s="38">
        <v>25</v>
      </c>
      <c r="AC203" s="38">
        <v>12</v>
      </c>
      <c r="AD203" s="38">
        <v>0</v>
      </c>
      <c r="AE203" s="38">
        <v>0</v>
      </c>
      <c r="AF203" s="38">
        <v>0</v>
      </c>
      <c r="AG203" s="38">
        <v>0</v>
      </c>
      <c r="AH203" s="38">
        <v>0</v>
      </c>
      <c r="AI203" s="38">
        <v>0</v>
      </c>
      <c r="AJ203" s="38">
        <v>0</v>
      </c>
      <c r="AK203" s="37">
        <v>0</v>
      </c>
      <c r="AL203" s="40">
        <f t="shared" si="8"/>
        <v>0</v>
      </c>
      <c r="AM203" s="37">
        <f t="shared" si="9"/>
        <v>0</v>
      </c>
      <c r="AN203" s="40">
        <f t="shared" si="10"/>
        <v>0</v>
      </c>
      <c r="AO203" s="37">
        <f t="shared" si="11"/>
        <v>0</v>
      </c>
      <c r="AP203" s="38">
        <v>34</v>
      </c>
      <c r="AQ203" s="38">
        <v>22</v>
      </c>
      <c r="AR203" s="38">
        <v>12</v>
      </c>
      <c r="AS203" s="38">
        <v>9</v>
      </c>
      <c r="AT203" s="38">
        <v>6</v>
      </c>
      <c r="AU203" s="38">
        <v>3</v>
      </c>
      <c r="AV203" s="38">
        <v>11</v>
      </c>
      <c r="AW203" s="38">
        <v>9</v>
      </c>
      <c r="AX203" s="38">
        <v>2</v>
      </c>
      <c r="AY203" s="38">
        <v>38</v>
      </c>
      <c r="AZ203" s="38">
        <v>26</v>
      </c>
      <c r="BA203" s="38">
        <v>12</v>
      </c>
      <c r="BB203" s="38">
        <v>2</v>
      </c>
      <c r="BC203" s="37">
        <v>5.2631578947368416</v>
      </c>
      <c r="BD203" s="40">
        <v>1</v>
      </c>
      <c r="BE203" s="37">
        <v>3.8461538461538463</v>
      </c>
      <c r="BF203" s="40">
        <v>1</v>
      </c>
      <c r="BG203" s="37">
        <v>8.3333333333333321</v>
      </c>
      <c r="BH203" s="38">
        <v>11</v>
      </c>
      <c r="BI203" s="38">
        <v>11</v>
      </c>
      <c r="BJ203" s="38">
        <v>9</v>
      </c>
      <c r="BK203" s="38">
        <v>2</v>
      </c>
      <c r="BL203" s="37">
        <v>100</v>
      </c>
      <c r="BM203" s="37">
        <v>100</v>
      </c>
      <c r="BN203" s="37">
        <v>100</v>
      </c>
      <c r="BO203" s="38">
        <v>11</v>
      </c>
      <c r="BP203" s="38">
        <v>10</v>
      </c>
      <c r="BQ203" s="38">
        <v>1</v>
      </c>
      <c r="BR203" s="37">
        <v>100</v>
      </c>
      <c r="BS203" s="37">
        <v>90</v>
      </c>
      <c r="BT203" s="37">
        <v>200</v>
      </c>
      <c r="BU203" s="2"/>
      <c r="BV203" s="2"/>
    </row>
    <row r="204" spans="1:74" ht="15.75" x14ac:dyDescent="0.3">
      <c r="A204" s="2" t="s">
        <v>54</v>
      </c>
      <c r="B204" s="2" t="s">
        <v>55</v>
      </c>
      <c r="C204" s="2" t="s">
        <v>105</v>
      </c>
      <c r="D204" s="2" t="s">
        <v>674</v>
      </c>
      <c r="E204" s="2" t="s">
        <v>674</v>
      </c>
      <c r="F204" s="2" t="s">
        <v>675</v>
      </c>
      <c r="G204" s="2" t="s">
        <v>60</v>
      </c>
      <c r="H204" s="2" t="s">
        <v>61</v>
      </c>
      <c r="I204" s="2" t="s">
        <v>62</v>
      </c>
      <c r="J204" s="2" t="s">
        <v>63</v>
      </c>
      <c r="K204" s="2" t="s">
        <v>159</v>
      </c>
      <c r="L204" s="2" t="s">
        <v>785</v>
      </c>
      <c r="M204" s="2">
        <v>2</v>
      </c>
      <c r="N204" s="2" t="s">
        <v>1209</v>
      </c>
      <c r="O204" s="2" t="s">
        <v>812</v>
      </c>
      <c r="P204" s="2" t="s">
        <v>1210</v>
      </c>
      <c r="Q204" s="2" t="s">
        <v>69</v>
      </c>
      <c r="R204" s="2" t="s">
        <v>70</v>
      </c>
      <c r="S204" s="2" t="s">
        <v>1211</v>
      </c>
      <c r="T204" s="2" t="s">
        <v>703</v>
      </c>
      <c r="U204" s="2" t="s">
        <v>1212</v>
      </c>
      <c r="V204" s="2" t="s">
        <v>703</v>
      </c>
      <c r="W204" s="2" t="s">
        <v>74</v>
      </c>
      <c r="X204" s="38">
        <v>58</v>
      </c>
      <c r="Y204" s="38">
        <v>52</v>
      </c>
      <c r="Z204" s="38">
        <v>6</v>
      </c>
      <c r="AA204" s="38">
        <v>36</v>
      </c>
      <c r="AB204" s="38">
        <v>33</v>
      </c>
      <c r="AC204" s="38">
        <v>3</v>
      </c>
      <c r="AD204" s="38">
        <v>16</v>
      </c>
      <c r="AE204" s="38">
        <v>13</v>
      </c>
      <c r="AF204" s="38">
        <v>3</v>
      </c>
      <c r="AG204" s="38">
        <v>0</v>
      </c>
      <c r="AH204" s="38">
        <v>0</v>
      </c>
      <c r="AI204" s="38">
        <v>0</v>
      </c>
      <c r="AJ204" s="38">
        <v>6</v>
      </c>
      <c r="AK204" s="37">
        <v>10.344827586206897</v>
      </c>
      <c r="AL204" s="40">
        <f t="shared" si="8"/>
        <v>6</v>
      </c>
      <c r="AM204" s="37">
        <f t="shared" si="9"/>
        <v>11.538461538461538</v>
      </c>
      <c r="AN204" s="40">
        <f t="shared" si="10"/>
        <v>0</v>
      </c>
      <c r="AO204" s="37">
        <f t="shared" si="11"/>
        <v>0</v>
      </c>
      <c r="AP204" s="38">
        <v>74</v>
      </c>
      <c r="AQ204" s="38">
        <v>66</v>
      </c>
      <c r="AR204" s="38">
        <v>8</v>
      </c>
      <c r="AS204" s="38">
        <v>41</v>
      </c>
      <c r="AT204" s="38">
        <v>38</v>
      </c>
      <c r="AU204" s="38">
        <v>3</v>
      </c>
      <c r="AV204" s="38">
        <v>15</v>
      </c>
      <c r="AW204" s="38">
        <v>14</v>
      </c>
      <c r="AX204" s="38">
        <v>1</v>
      </c>
      <c r="AY204" s="38">
        <v>65</v>
      </c>
      <c r="AZ204" s="38">
        <v>59</v>
      </c>
      <c r="BA204" s="38">
        <v>6</v>
      </c>
      <c r="BB204" s="38">
        <v>17</v>
      </c>
      <c r="BC204" s="37">
        <v>26.153846153846157</v>
      </c>
      <c r="BD204" s="40">
        <v>17</v>
      </c>
      <c r="BE204" s="37">
        <v>28.8135593220339</v>
      </c>
      <c r="BF204" s="40">
        <v>0</v>
      </c>
      <c r="BG204" s="37">
        <v>0</v>
      </c>
      <c r="BH204" s="38">
        <v>15</v>
      </c>
      <c r="BI204" s="38">
        <v>15</v>
      </c>
      <c r="BJ204" s="38">
        <v>14</v>
      </c>
      <c r="BK204" s="38">
        <v>1</v>
      </c>
      <c r="BL204" s="37">
        <v>100</v>
      </c>
      <c r="BM204" s="37">
        <v>100</v>
      </c>
      <c r="BN204" s="37">
        <v>100</v>
      </c>
      <c r="BO204" s="38">
        <v>21</v>
      </c>
      <c r="BP204" s="38">
        <v>20</v>
      </c>
      <c r="BQ204" s="38">
        <v>1</v>
      </c>
      <c r="BR204" s="37">
        <v>71.428571428571431</v>
      </c>
      <c r="BS204" s="37">
        <v>70</v>
      </c>
      <c r="BT204" s="37">
        <v>100</v>
      </c>
      <c r="BU204" s="2"/>
      <c r="BV204" s="2"/>
    </row>
    <row r="205" spans="1:74" ht="15.75" x14ac:dyDescent="0.3">
      <c r="A205" s="2" t="s">
        <v>54</v>
      </c>
      <c r="B205" s="2" t="s">
        <v>55</v>
      </c>
      <c r="C205" s="2" t="s">
        <v>105</v>
      </c>
      <c r="D205" s="2" t="s">
        <v>674</v>
      </c>
      <c r="E205" s="2" t="s">
        <v>674</v>
      </c>
      <c r="F205" s="2" t="s">
        <v>675</v>
      </c>
      <c r="G205" s="2" t="s">
        <v>60</v>
      </c>
      <c r="H205" s="2" t="s">
        <v>61</v>
      </c>
      <c r="I205" s="2" t="s">
        <v>178</v>
      </c>
      <c r="J205" s="2" t="s">
        <v>178</v>
      </c>
      <c r="K205" s="2" t="s">
        <v>159</v>
      </c>
      <c r="L205" s="2" t="s">
        <v>1213</v>
      </c>
      <c r="M205" s="2">
        <v>126</v>
      </c>
      <c r="N205" s="2" t="s">
        <v>1214</v>
      </c>
      <c r="O205" s="2" t="s">
        <v>1215</v>
      </c>
      <c r="P205" s="2" t="s">
        <v>1216</v>
      </c>
      <c r="Q205" s="2" t="s">
        <v>90</v>
      </c>
      <c r="R205" s="2" t="s">
        <v>91</v>
      </c>
      <c r="S205" s="2" t="s">
        <v>1217</v>
      </c>
      <c r="T205" s="2" t="s">
        <v>1218</v>
      </c>
      <c r="U205" s="2" t="s">
        <v>1219</v>
      </c>
      <c r="V205" s="2" t="s">
        <v>1218</v>
      </c>
      <c r="W205" s="2" t="s">
        <v>74</v>
      </c>
      <c r="X205" s="38">
        <v>383</v>
      </c>
      <c r="Y205" s="38">
        <v>190</v>
      </c>
      <c r="Z205" s="38">
        <v>193</v>
      </c>
      <c r="AA205" s="38">
        <v>315</v>
      </c>
      <c r="AB205" s="38">
        <v>144</v>
      </c>
      <c r="AC205" s="38">
        <v>171</v>
      </c>
      <c r="AD205" s="38">
        <v>23</v>
      </c>
      <c r="AE205" s="38">
        <v>15</v>
      </c>
      <c r="AF205" s="38">
        <v>8</v>
      </c>
      <c r="AG205" s="38">
        <v>0</v>
      </c>
      <c r="AH205" s="38">
        <v>0</v>
      </c>
      <c r="AI205" s="38">
        <v>0</v>
      </c>
      <c r="AJ205" s="38">
        <v>45</v>
      </c>
      <c r="AK205" s="37">
        <v>11.74934725848564</v>
      </c>
      <c r="AL205" s="40">
        <f t="shared" si="8"/>
        <v>31</v>
      </c>
      <c r="AM205" s="37">
        <f t="shared" si="9"/>
        <v>16.315789473684212</v>
      </c>
      <c r="AN205" s="40">
        <f t="shared" si="10"/>
        <v>14</v>
      </c>
      <c r="AO205" s="37">
        <f t="shared" si="11"/>
        <v>7.2538860103626934</v>
      </c>
      <c r="AP205" s="38">
        <v>404</v>
      </c>
      <c r="AQ205" s="38">
        <v>207</v>
      </c>
      <c r="AR205" s="38">
        <v>197</v>
      </c>
      <c r="AS205" s="38">
        <v>156</v>
      </c>
      <c r="AT205" s="38">
        <v>82</v>
      </c>
      <c r="AU205" s="38">
        <v>74</v>
      </c>
      <c r="AV205" s="38">
        <v>120</v>
      </c>
      <c r="AW205" s="38">
        <v>51</v>
      </c>
      <c r="AX205" s="38">
        <v>69</v>
      </c>
      <c r="AY205" s="38">
        <v>396</v>
      </c>
      <c r="AZ205" s="38">
        <v>196</v>
      </c>
      <c r="BA205" s="38">
        <v>200</v>
      </c>
      <c r="BB205" s="38">
        <v>28</v>
      </c>
      <c r="BC205" s="37">
        <v>7.0707070707070701</v>
      </c>
      <c r="BD205" s="40">
        <v>20</v>
      </c>
      <c r="BE205" s="37">
        <v>10.204081632653061</v>
      </c>
      <c r="BF205" s="40">
        <v>8</v>
      </c>
      <c r="BG205" s="37">
        <v>4</v>
      </c>
      <c r="BH205" s="38">
        <v>120</v>
      </c>
      <c r="BI205" s="38">
        <v>126</v>
      </c>
      <c r="BJ205" s="38">
        <v>55</v>
      </c>
      <c r="BK205" s="38">
        <v>71</v>
      </c>
      <c r="BL205" s="37">
        <v>95.238095238095227</v>
      </c>
      <c r="BM205" s="37">
        <v>92.72727272727272</v>
      </c>
      <c r="BN205" s="37">
        <v>97.183098591549296</v>
      </c>
      <c r="BO205" s="38">
        <v>142</v>
      </c>
      <c r="BP205" s="38">
        <v>63</v>
      </c>
      <c r="BQ205" s="38">
        <v>79</v>
      </c>
      <c r="BR205" s="37">
        <v>84.507042253521121</v>
      </c>
      <c r="BS205" s="37">
        <v>80.952380952380949</v>
      </c>
      <c r="BT205" s="37">
        <v>87.341772151898738</v>
      </c>
      <c r="BU205" s="2"/>
      <c r="BV205" s="2"/>
    </row>
    <row r="206" spans="1:74" ht="15.75" x14ac:dyDescent="0.3">
      <c r="A206" s="2" t="s">
        <v>54</v>
      </c>
      <c r="B206" s="2" t="s">
        <v>55</v>
      </c>
      <c r="C206" s="2" t="s">
        <v>56</v>
      </c>
      <c r="D206" s="2" t="s">
        <v>674</v>
      </c>
      <c r="E206" s="2" t="s">
        <v>674</v>
      </c>
      <c r="F206" s="2" t="s">
        <v>675</v>
      </c>
      <c r="G206" s="2" t="s">
        <v>60</v>
      </c>
      <c r="H206" s="2" t="s">
        <v>61</v>
      </c>
      <c r="I206" s="2" t="s">
        <v>62</v>
      </c>
      <c r="J206" s="2" t="s">
        <v>63</v>
      </c>
      <c r="K206" s="2" t="s">
        <v>1220</v>
      </c>
      <c r="L206" s="2" t="s">
        <v>1221</v>
      </c>
      <c r="M206" s="2">
        <v>40</v>
      </c>
      <c r="N206" s="2" t="s">
        <v>1222</v>
      </c>
      <c r="O206" s="2" t="s">
        <v>1223</v>
      </c>
      <c r="P206" s="2" t="s">
        <v>1224</v>
      </c>
      <c r="Q206" s="2" t="s">
        <v>69</v>
      </c>
      <c r="R206" s="2" t="s">
        <v>70</v>
      </c>
      <c r="S206" s="2" t="s">
        <v>1225</v>
      </c>
      <c r="T206" s="2" t="s">
        <v>1226</v>
      </c>
      <c r="U206" s="2" t="s">
        <v>1227</v>
      </c>
      <c r="V206" s="2" t="s">
        <v>1226</v>
      </c>
      <c r="W206" s="2" t="s">
        <v>74</v>
      </c>
      <c r="X206" s="38">
        <v>109</v>
      </c>
      <c r="Y206" s="38">
        <v>50</v>
      </c>
      <c r="Z206" s="38">
        <v>59</v>
      </c>
      <c r="AA206" s="38">
        <v>81</v>
      </c>
      <c r="AB206" s="38">
        <v>32</v>
      </c>
      <c r="AC206" s="38">
        <v>49</v>
      </c>
      <c r="AD206" s="38">
        <v>12</v>
      </c>
      <c r="AE206" s="38">
        <v>6</v>
      </c>
      <c r="AF206" s="38">
        <v>6</v>
      </c>
      <c r="AG206" s="38">
        <v>0</v>
      </c>
      <c r="AH206" s="38">
        <v>0</v>
      </c>
      <c r="AI206" s="38">
        <v>0</v>
      </c>
      <c r="AJ206" s="38">
        <v>16</v>
      </c>
      <c r="AK206" s="37">
        <v>14.678899082568808</v>
      </c>
      <c r="AL206" s="40">
        <f t="shared" ref="AL206:AL269" si="12">Y206-AB206-AE206</f>
        <v>12</v>
      </c>
      <c r="AM206" s="37">
        <f t="shared" ref="AM206:AM269" si="13">(AL206/Y206)*100</f>
        <v>24</v>
      </c>
      <c r="AN206" s="40">
        <f t="shared" ref="AN206:AN269" si="14">Z206-AC206-AF206</f>
        <v>4</v>
      </c>
      <c r="AO206" s="37">
        <f t="shared" ref="AO206:AO269" si="15">(AN206/Z206)*100</f>
        <v>6.7796610169491522</v>
      </c>
      <c r="AP206" s="38">
        <v>99</v>
      </c>
      <c r="AQ206" s="38">
        <v>56</v>
      </c>
      <c r="AR206" s="38">
        <v>43</v>
      </c>
      <c r="AS206" s="38">
        <v>36</v>
      </c>
      <c r="AT206" s="38">
        <v>23</v>
      </c>
      <c r="AU206" s="38">
        <v>13</v>
      </c>
      <c r="AV206" s="38">
        <v>43</v>
      </c>
      <c r="AW206" s="38">
        <v>15</v>
      </c>
      <c r="AX206" s="38">
        <v>28</v>
      </c>
      <c r="AY206" s="38">
        <v>108</v>
      </c>
      <c r="AZ206" s="38">
        <v>46</v>
      </c>
      <c r="BA206" s="38">
        <v>62</v>
      </c>
      <c r="BB206" s="38">
        <v>2</v>
      </c>
      <c r="BC206" s="37">
        <v>1.8518518518518516</v>
      </c>
      <c r="BD206" s="40">
        <v>-2</v>
      </c>
      <c r="BE206" s="37">
        <v>-4.3478260869565215</v>
      </c>
      <c r="BF206" s="40">
        <v>4</v>
      </c>
      <c r="BG206" s="37">
        <v>6.4516129032258061</v>
      </c>
      <c r="BH206" s="38">
        <v>43</v>
      </c>
      <c r="BI206" s="38">
        <v>44</v>
      </c>
      <c r="BJ206" s="38">
        <v>15</v>
      </c>
      <c r="BK206" s="38">
        <v>29</v>
      </c>
      <c r="BL206" s="37">
        <v>97.727272727272734</v>
      </c>
      <c r="BM206" s="37">
        <v>100</v>
      </c>
      <c r="BN206" s="37">
        <v>96.551724137931032</v>
      </c>
      <c r="BO206" s="38">
        <v>50</v>
      </c>
      <c r="BP206" s="38">
        <v>18</v>
      </c>
      <c r="BQ206" s="38">
        <v>32</v>
      </c>
      <c r="BR206" s="37">
        <v>86</v>
      </c>
      <c r="BS206" s="37">
        <v>83.333333333333343</v>
      </c>
      <c r="BT206" s="37">
        <v>87.5</v>
      </c>
      <c r="BU206" s="2"/>
      <c r="BV206" s="2"/>
    </row>
    <row r="207" spans="1:74" ht="15.75" x14ac:dyDescent="0.3">
      <c r="A207" s="2" t="s">
        <v>54</v>
      </c>
      <c r="B207" s="2" t="s">
        <v>55</v>
      </c>
      <c r="C207" s="2" t="s">
        <v>105</v>
      </c>
      <c r="D207" s="2" t="s">
        <v>674</v>
      </c>
      <c r="E207" s="2" t="s">
        <v>674</v>
      </c>
      <c r="F207" s="2" t="s">
        <v>675</v>
      </c>
      <c r="G207" s="2" t="s">
        <v>60</v>
      </c>
      <c r="H207" s="2" t="s">
        <v>61</v>
      </c>
      <c r="I207" s="2" t="s">
        <v>62</v>
      </c>
      <c r="J207" s="2" t="s">
        <v>63</v>
      </c>
      <c r="K207" s="2" t="s">
        <v>1012</v>
      </c>
      <c r="L207" s="2" t="s">
        <v>1228</v>
      </c>
      <c r="M207" s="2">
        <v>272</v>
      </c>
      <c r="N207" s="2" t="s">
        <v>1229</v>
      </c>
      <c r="O207" s="2" t="s">
        <v>1230</v>
      </c>
      <c r="P207" s="2" t="s">
        <v>1231</v>
      </c>
      <c r="Q207" s="2" t="s">
        <v>69</v>
      </c>
      <c r="R207" s="2" t="s">
        <v>70</v>
      </c>
      <c r="S207" s="2" t="s">
        <v>1232</v>
      </c>
      <c r="T207" s="2" t="s">
        <v>1233</v>
      </c>
      <c r="U207" s="2" t="s">
        <v>1234</v>
      </c>
      <c r="V207" s="2" t="s">
        <v>1233</v>
      </c>
      <c r="W207" s="2" t="s">
        <v>74</v>
      </c>
      <c r="X207" s="38">
        <v>244</v>
      </c>
      <c r="Y207" s="38">
        <v>95</v>
      </c>
      <c r="Z207" s="38">
        <v>149</v>
      </c>
      <c r="AA207" s="38">
        <v>201</v>
      </c>
      <c r="AB207" s="38">
        <v>73</v>
      </c>
      <c r="AC207" s="38">
        <v>128</v>
      </c>
      <c r="AD207" s="38">
        <v>31</v>
      </c>
      <c r="AE207" s="38">
        <v>15</v>
      </c>
      <c r="AF207" s="38">
        <v>16</v>
      </c>
      <c r="AG207" s="38">
        <v>0</v>
      </c>
      <c r="AH207" s="38">
        <v>0</v>
      </c>
      <c r="AI207" s="38">
        <v>0</v>
      </c>
      <c r="AJ207" s="38">
        <v>12</v>
      </c>
      <c r="AK207" s="37">
        <v>4.918032786885246</v>
      </c>
      <c r="AL207" s="40">
        <f t="shared" si="12"/>
        <v>7</v>
      </c>
      <c r="AM207" s="37">
        <f t="shared" si="13"/>
        <v>7.3684210526315779</v>
      </c>
      <c r="AN207" s="40">
        <f t="shared" si="14"/>
        <v>5</v>
      </c>
      <c r="AO207" s="37">
        <f t="shared" si="15"/>
        <v>3.3557046979865772</v>
      </c>
      <c r="AP207" s="38">
        <v>214</v>
      </c>
      <c r="AQ207" s="38">
        <v>92</v>
      </c>
      <c r="AR207" s="38">
        <v>122</v>
      </c>
      <c r="AS207" s="38">
        <v>48</v>
      </c>
      <c r="AT207" s="38">
        <v>25</v>
      </c>
      <c r="AU207" s="38">
        <v>23</v>
      </c>
      <c r="AV207" s="38">
        <v>88</v>
      </c>
      <c r="AW207" s="38">
        <v>29</v>
      </c>
      <c r="AX207" s="38">
        <v>59</v>
      </c>
      <c r="AY207" s="38">
        <v>244</v>
      </c>
      <c r="AZ207" s="38">
        <v>96</v>
      </c>
      <c r="BA207" s="38">
        <v>148</v>
      </c>
      <c r="BB207" s="38">
        <v>-10</v>
      </c>
      <c r="BC207" s="37">
        <v>-4.0983606557377046</v>
      </c>
      <c r="BD207" s="40">
        <v>0</v>
      </c>
      <c r="BE207" s="37">
        <v>0</v>
      </c>
      <c r="BF207" s="40">
        <v>-10</v>
      </c>
      <c r="BG207" s="37">
        <v>-6.756756756756757</v>
      </c>
      <c r="BH207" s="38">
        <v>88</v>
      </c>
      <c r="BI207" s="38">
        <v>90</v>
      </c>
      <c r="BJ207" s="38">
        <v>30</v>
      </c>
      <c r="BK207" s="38">
        <v>60</v>
      </c>
      <c r="BL207" s="37">
        <v>97.777777777777771</v>
      </c>
      <c r="BM207" s="37">
        <v>96.666666666666671</v>
      </c>
      <c r="BN207" s="37">
        <v>98.333333333333329</v>
      </c>
      <c r="BO207" s="38">
        <v>89</v>
      </c>
      <c r="BP207" s="38">
        <v>33</v>
      </c>
      <c r="BQ207" s="38">
        <v>56</v>
      </c>
      <c r="BR207" s="37">
        <v>98.876404494382015</v>
      </c>
      <c r="BS207" s="37">
        <v>87.878787878787875</v>
      </c>
      <c r="BT207" s="37">
        <v>105.35714285714286</v>
      </c>
      <c r="BU207" s="2"/>
      <c r="BV207" s="2"/>
    </row>
    <row r="208" spans="1:74" ht="15.75" x14ac:dyDescent="0.3">
      <c r="A208" s="2" t="s">
        <v>54</v>
      </c>
      <c r="B208" s="2" t="s">
        <v>55</v>
      </c>
      <c r="C208" s="2" t="s">
        <v>56</v>
      </c>
      <c r="D208" s="2" t="s">
        <v>674</v>
      </c>
      <c r="E208" s="2" t="s">
        <v>674</v>
      </c>
      <c r="F208" s="2" t="s">
        <v>675</v>
      </c>
      <c r="G208" s="2" t="s">
        <v>60</v>
      </c>
      <c r="H208" s="2" t="s">
        <v>61</v>
      </c>
      <c r="I208" s="2" t="s">
        <v>62</v>
      </c>
      <c r="J208" s="2" t="s">
        <v>1003</v>
      </c>
      <c r="K208" s="2" t="s">
        <v>76</v>
      </c>
      <c r="L208" s="2" t="s">
        <v>1235</v>
      </c>
      <c r="M208" s="2">
        <v>1000</v>
      </c>
      <c r="N208" s="2" t="s">
        <v>1236</v>
      </c>
      <c r="O208" s="2" t="s">
        <v>1237</v>
      </c>
      <c r="P208" s="2" t="s">
        <v>80</v>
      </c>
      <c r="Q208" s="2" t="s">
        <v>69</v>
      </c>
      <c r="R208" s="2" t="s">
        <v>70</v>
      </c>
      <c r="S208" s="2" t="s">
        <v>1238</v>
      </c>
      <c r="T208" s="2" t="s">
        <v>1239</v>
      </c>
      <c r="U208" s="2" t="s">
        <v>1240</v>
      </c>
      <c r="V208" s="2" t="s">
        <v>1239</v>
      </c>
      <c r="W208" s="2" t="s">
        <v>74</v>
      </c>
      <c r="X208" s="38">
        <v>761</v>
      </c>
      <c r="Y208" s="38">
        <v>355</v>
      </c>
      <c r="Z208" s="38">
        <v>406</v>
      </c>
      <c r="AA208" s="38">
        <v>596</v>
      </c>
      <c r="AB208" s="38">
        <v>226</v>
      </c>
      <c r="AC208" s="38">
        <v>370</v>
      </c>
      <c r="AD208" s="38">
        <v>57</v>
      </c>
      <c r="AE208" s="38">
        <v>40</v>
      </c>
      <c r="AF208" s="38">
        <v>17</v>
      </c>
      <c r="AG208" s="38">
        <v>0</v>
      </c>
      <c r="AH208" s="38">
        <v>0</v>
      </c>
      <c r="AI208" s="38">
        <v>0</v>
      </c>
      <c r="AJ208" s="38">
        <v>108</v>
      </c>
      <c r="AK208" s="37">
        <v>14.191852825229962</v>
      </c>
      <c r="AL208" s="40">
        <f t="shared" si="12"/>
        <v>89</v>
      </c>
      <c r="AM208" s="37">
        <f t="shared" si="13"/>
        <v>25.070422535211268</v>
      </c>
      <c r="AN208" s="40">
        <f t="shared" si="14"/>
        <v>19</v>
      </c>
      <c r="AO208" s="37">
        <f t="shared" si="15"/>
        <v>4.6798029556650249</v>
      </c>
      <c r="AP208" s="38">
        <v>410</v>
      </c>
      <c r="AQ208" s="38">
        <v>191</v>
      </c>
      <c r="AR208" s="38">
        <v>219</v>
      </c>
      <c r="AS208" s="38">
        <v>2</v>
      </c>
      <c r="AT208" s="38">
        <v>1</v>
      </c>
      <c r="AU208" s="38">
        <v>1</v>
      </c>
      <c r="AV208" s="38">
        <v>253</v>
      </c>
      <c r="AW208" s="38">
        <v>154</v>
      </c>
      <c r="AX208" s="38">
        <v>99</v>
      </c>
      <c r="AY208" s="38">
        <v>761</v>
      </c>
      <c r="AZ208" s="38">
        <v>355</v>
      </c>
      <c r="BA208" s="38">
        <v>406</v>
      </c>
      <c r="BB208" s="38">
        <v>100</v>
      </c>
      <c r="BC208" s="37">
        <v>13.14060446780552</v>
      </c>
      <c r="BD208" s="40">
        <v>11</v>
      </c>
      <c r="BE208" s="37">
        <v>3.0985915492957745</v>
      </c>
      <c r="BF208" s="40">
        <v>89</v>
      </c>
      <c r="BG208" s="37">
        <v>21.921182266009854</v>
      </c>
      <c r="BH208" s="38">
        <v>253</v>
      </c>
      <c r="BI208" s="38">
        <v>351</v>
      </c>
      <c r="BJ208" s="38">
        <v>158</v>
      </c>
      <c r="BK208" s="38">
        <v>193</v>
      </c>
      <c r="BL208" s="37">
        <v>72.07977207977207</v>
      </c>
      <c r="BM208" s="37">
        <v>97.468354430379748</v>
      </c>
      <c r="BN208" s="37">
        <v>51.295336787564771</v>
      </c>
      <c r="BO208" s="38">
        <v>368</v>
      </c>
      <c r="BP208" s="38">
        <v>174</v>
      </c>
      <c r="BQ208" s="38">
        <v>194</v>
      </c>
      <c r="BR208" s="37">
        <v>68.75</v>
      </c>
      <c r="BS208" s="37">
        <v>88.505747126436788</v>
      </c>
      <c r="BT208" s="37">
        <v>51.030927835051543</v>
      </c>
      <c r="BU208" s="2"/>
      <c r="BV208" s="2"/>
    </row>
    <row r="209" spans="1:74" ht="15.75" x14ac:dyDescent="0.3">
      <c r="A209" s="2" t="s">
        <v>54</v>
      </c>
      <c r="B209" s="2" t="s">
        <v>55</v>
      </c>
      <c r="C209" s="2" t="s">
        <v>105</v>
      </c>
      <c r="D209" s="2" t="s">
        <v>674</v>
      </c>
      <c r="E209" s="2" t="s">
        <v>674</v>
      </c>
      <c r="F209" s="2" t="s">
        <v>675</v>
      </c>
      <c r="G209" s="2" t="s">
        <v>149</v>
      </c>
      <c r="H209" s="2" t="s">
        <v>149</v>
      </c>
      <c r="I209" s="2" t="s">
        <v>178</v>
      </c>
      <c r="J209" s="2" t="s">
        <v>1241</v>
      </c>
      <c r="K209" s="2" t="s">
        <v>76</v>
      </c>
      <c r="L209" s="2" t="s">
        <v>1242</v>
      </c>
      <c r="M209" s="2">
        <v>6</v>
      </c>
      <c r="N209" s="2" t="s">
        <v>1243</v>
      </c>
      <c r="O209" s="2" t="s">
        <v>1244</v>
      </c>
      <c r="P209" s="2" t="s">
        <v>935</v>
      </c>
      <c r="Q209" s="2" t="s">
        <v>90</v>
      </c>
      <c r="R209" s="2" t="s">
        <v>91</v>
      </c>
      <c r="S209" s="2" t="s">
        <v>1245</v>
      </c>
      <c r="T209" s="2" t="s">
        <v>1246</v>
      </c>
      <c r="U209" s="2" t="s">
        <v>1247</v>
      </c>
      <c r="V209" s="2" t="s">
        <v>1246</v>
      </c>
      <c r="W209" s="2" t="s">
        <v>74</v>
      </c>
      <c r="X209" s="38">
        <v>347</v>
      </c>
      <c r="Y209" s="38">
        <v>151</v>
      </c>
      <c r="Z209" s="38">
        <v>196</v>
      </c>
      <c r="AA209" s="38">
        <v>247</v>
      </c>
      <c r="AB209" s="38">
        <v>98</v>
      </c>
      <c r="AC209" s="38">
        <v>149</v>
      </c>
      <c r="AD209" s="38">
        <v>66</v>
      </c>
      <c r="AE209" s="38">
        <v>33</v>
      </c>
      <c r="AF209" s="38">
        <v>33</v>
      </c>
      <c r="AG209" s="38">
        <v>0</v>
      </c>
      <c r="AH209" s="38">
        <v>0</v>
      </c>
      <c r="AI209" s="38">
        <v>0</v>
      </c>
      <c r="AJ209" s="38">
        <v>34</v>
      </c>
      <c r="AK209" s="37">
        <v>9.7982708933717575</v>
      </c>
      <c r="AL209" s="40">
        <f t="shared" si="12"/>
        <v>20</v>
      </c>
      <c r="AM209" s="37">
        <f t="shared" si="13"/>
        <v>13.245033112582782</v>
      </c>
      <c r="AN209" s="40">
        <f t="shared" si="14"/>
        <v>14</v>
      </c>
      <c r="AO209" s="37">
        <f t="shared" si="15"/>
        <v>7.1428571428571423</v>
      </c>
      <c r="AP209" s="38">
        <v>406</v>
      </c>
      <c r="AQ209" s="38">
        <v>203</v>
      </c>
      <c r="AR209" s="38">
        <v>203</v>
      </c>
      <c r="AS209" s="38">
        <v>144</v>
      </c>
      <c r="AT209" s="38">
        <v>77</v>
      </c>
      <c r="AU209" s="38">
        <v>67</v>
      </c>
      <c r="AV209" s="38">
        <v>99</v>
      </c>
      <c r="AW209" s="38">
        <v>36</v>
      </c>
      <c r="AX209" s="38">
        <v>63</v>
      </c>
      <c r="AY209" s="38">
        <v>364</v>
      </c>
      <c r="AZ209" s="38">
        <v>156</v>
      </c>
      <c r="BA209" s="38">
        <v>208</v>
      </c>
      <c r="BB209" s="38">
        <v>3</v>
      </c>
      <c r="BC209" s="37">
        <v>0.82417582417582425</v>
      </c>
      <c r="BD209" s="40">
        <v>-6</v>
      </c>
      <c r="BE209" s="37">
        <v>-3.8461538461538463</v>
      </c>
      <c r="BF209" s="40">
        <v>9</v>
      </c>
      <c r="BG209" s="37">
        <v>4.3269230769230766</v>
      </c>
      <c r="BH209" s="38">
        <v>99</v>
      </c>
      <c r="BI209" s="38">
        <v>110</v>
      </c>
      <c r="BJ209" s="38">
        <v>44</v>
      </c>
      <c r="BK209" s="38">
        <v>66</v>
      </c>
      <c r="BL209" s="37">
        <v>90</v>
      </c>
      <c r="BM209" s="37">
        <v>81.818181818181827</v>
      </c>
      <c r="BN209" s="37">
        <v>95.454545454545453</v>
      </c>
      <c r="BO209" s="38">
        <v>114</v>
      </c>
      <c r="BP209" s="38">
        <v>43</v>
      </c>
      <c r="BQ209" s="38">
        <v>71</v>
      </c>
      <c r="BR209" s="37">
        <v>86.842105263157904</v>
      </c>
      <c r="BS209" s="37">
        <v>83.720930232558146</v>
      </c>
      <c r="BT209" s="37">
        <v>88.732394366197184</v>
      </c>
      <c r="BU209" s="2"/>
      <c r="BV209" s="2"/>
    </row>
    <row r="210" spans="1:74" ht="15.75" x14ac:dyDescent="0.3">
      <c r="A210" s="2" t="s">
        <v>54</v>
      </c>
      <c r="B210" s="2" t="s">
        <v>55</v>
      </c>
      <c r="C210" s="2" t="s">
        <v>105</v>
      </c>
      <c r="D210" s="2" t="s">
        <v>674</v>
      </c>
      <c r="E210" s="2" t="s">
        <v>674</v>
      </c>
      <c r="F210" s="2" t="s">
        <v>675</v>
      </c>
      <c r="G210" s="2" t="s">
        <v>60</v>
      </c>
      <c r="H210" s="2" t="s">
        <v>61</v>
      </c>
      <c r="I210" s="2" t="s">
        <v>62</v>
      </c>
      <c r="J210" s="2" t="s">
        <v>63</v>
      </c>
      <c r="K210" s="2" t="s">
        <v>1248</v>
      </c>
      <c r="L210" s="2" t="s">
        <v>1249</v>
      </c>
      <c r="M210" s="2">
        <v>16</v>
      </c>
      <c r="N210" s="2" t="s">
        <v>1250</v>
      </c>
      <c r="O210" s="2" t="s">
        <v>1251</v>
      </c>
      <c r="P210" s="2" t="s">
        <v>1252</v>
      </c>
      <c r="Q210" s="2" t="s">
        <v>69</v>
      </c>
      <c r="R210" s="2" t="s">
        <v>70</v>
      </c>
      <c r="S210" s="2" t="s">
        <v>1253</v>
      </c>
      <c r="T210" s="2" t="s">
        <v>1254</v>
      </c>
      <c r="U210" s="2" t="s">
        <v>1255</v>
      </c>
      <c r="V210" s="2" t="s">
        <v>1254</v>
      </c>
      <c r="W210" s="2" t="s">
        <v>74</v>
      </c>
      <c r="X210" s="38">
        <v>160</v>
      </c>
      <c r="Y210" s="38">
        <v>62</v>
      </c>
      <c r="Z210" s="38">
        <v>98</v>
      </c>
      <c r="AA210" s="38">
        <v>126</v>
      </c>
      <c r="AB210" s="38">
        <v>44</v>
      </c>
      <c r="AC210" s="38">
        <v>82</v>
      </c>
      <c r="AD210" s="38">
        <v>15</v>
      </c>
      <c r="AE210" s="38">
        <v>9</v>
      </c>
      <c r="AF210" s="38">
        <v>6</v>
      </c>
      <c r="AG210" s="38">
        <v>0</v>
      </c>
      <c r="AH210" s="38">
        <v>0</v>
      </c>
      <c r="AI210" s="38">
        <v>0</v>
      </c>
      <c r="AJ210" s="38">
        <v>19</v>
      </c>
      <c r="AK210" s="37">
        <v>11.875</v>
      </c>
      <c r="AL210" s="40">
        <f t="shared" si="12"/>
        <v>9</v>
      </c>
      <c r="AM210" s="37">
        <f t="shared" si="13"/>
        <v>14.516129032258066</v>
      </c>
      <c r="AN210" s="40">
        <f t="shared" si="14"/>
        <v>10</v>
      </c>
      <c r="AO210" s="37">
        <f t="shared" si="15"/>
        <v>10.204081632653061</v>
      </c>
      <c r="AP210" s="38">
        <v>160</v>
      </c>
      <c r="AQ210" s="38">
        <v>65</v>
      </c>
      <c r="AR210" s="38">
        <v>95</v>
      </c>
      <c r="AS210" s="38">
        <v>64</v>
      </c>
      <c r="AT210" s="38">
        <v>27</v>
      </c>
      <c r="AU210" s="38">
        <v>37</v>
      </c>
      <c r="AV210" s="38">
        <v>49</v>
      </c>
      <c r="AW210" s="38">
        <v>18</v>
      </c>
      <c r="AX210" s="38">
        <v>31</v>
      </c>
      <c r="AY210" s="38">
        <v>164</v>
      </c>
      <c r="AZ210" s="38">
        <v>66</v>
      </c>
      <c r="BA210" s="38">
        <v>98</v>
      </c>
      <c r="BB210" s="38">
        <v>19</v>
      </c>
      <c r="BC210" s="37">
        <v>11.585365853658537</v>
      </c>
      <c r="BD210" s="40">
        <v>10</v>
      </c>
      <c r="BE210" s="37">
        <v>15.151515151515152</v>
      </c>
      <c r="BF210" s="40">
        <v>9</v>
      </c>
      <c r="BG210" s="37">
        <v>9.183673469387756</v>
      </c>
      <c r="BH210" s="38">
        <v>49</v>
      </c>
      <c r="BI210" s="38">
        <v>49</v>
      </c>
      <c r="BJ210" s="38">
        <v>18</v>
      </c>
      <c r="BK210" s="38">
        <v>31</v>
      </c>
      <c r="BL210" s="37">
        <v>100</v>
      </c>
      <c r="BM210" s="37">
        <v>100</v>
      </c>
      <c r="BN210" s="37">
        <v>100</v>
      </c>
      <c r="BO210" s="38">
        <v>48</v>
      </c>
      <c r="BP210" s="38">
        <v>19</v>
      </c>
      <c r="BQ210" s="38">
        <v>29</v>
      </c>
      <c r="BR210" s="37">
        <v>102.08333333333333</v>
      </c>
      <c r="BS210" s="37">
        <v>94.73684210526315</v>
      </c>
      <c r="BT210" s="37">
        <v>106.89655172413792</v>
      </c>
      <c r="BU210" s="2"/>
      <c r="BV210" s="2"/>
    </row>
    <row r="211" spans="1:74" ht="15.75" x14ac:dyDescent="0.3">
      <c r="A211" s="2" t="s">
        <v>54</v>
      </c>
      <c r="B211" s="2" t="s">
        <v>55</v>
      </c>
      <c r="C211" s="2" t="s">
        <v>105</v>
      </c>
      <c r="D211" s="2" t="s">
        <v>674</v>
      </c>
      <c r="E211" s="2" t="s">
        <v>674</v>
      </c>
      <c r="F211" s="2" t="s">
        <v>675</v>
      </c>
      <c r="G211" s="2" t="s">
        <v>60</v>
      </c>
      <c r="H211" s="2" t="s">
        <v>61</v>
      </c>
      <c r="I211" s="2" t="s">
        <v>62</v>
      </c>
      <c r="J211" s="2" t="s">
        <v>63</v>
      </c>
      <c r="K211" s="2" t="s">
        <v>159</v>
      </c>
      <c r="L211" s="2" t="s">
        <v>1256</v>
      </c>
      <c r="M211" s="2">
        <v>54</v>
      </c>
      <c r="N211" s="2" t="s">
        <v>1257</v>
      </c>
      <c r="O211" s="2" t="s">
        <v>1258</v>
      </c>
      <c r="P211" s="2" t="s">
        <v>1259</v>
      </c>
      <c r="Q211" s="2" t="s">
        <v>69</v>
      </c>
      <c r="R211" s="2" t="s">
        <v>70</v>
      </c>
      <c r="S211" s="2" t="s">
        <v>1260</v>
      </c>
      <c r="T211" s="2" t="s">
        <v>1261</v>
      </c>
      <c r="U211" s="2" t="s">
        <v>1262</v>
      </c>
      <c r="V211" s="2" t="s">
        <v>1261</v>
      </c>
      <c r="W211" s="2" t="s">
        <v>74</v>
      </c>
      <c r="X211" s="38">
        <v>574</v>
      </c>
      <c r="Y211" s="38">
        <v>261</v>
      </c>
      <c r="Z211" s="38">
        <v>313</v>
      </c>
      <c r="AA211" s="38">
        <v>376</v>
      </c>
      <c r="AB211" s="38">
        <v>176</v>
      </c>
      <c r="AC211" s="38">
        <v>200</v>
      </c>
      <c r="AD211" s="38">
        <v>181</v>
      </c>
      <c r="AE211" s="38">
        <v>76</v>
      </c>
      <c r="AF211" s="38">
        <v>105</v>
      </c>
      <c r="AG211" s="38">
        <v>0</v>
      </c>
      <c r="AH211" s="38">
        <v>0</v>
      </c>
      <c r="AI211" s="38">
        <v>0</v>
      </c>
      <c r="AJ211" s="38">
        <v>17</v>
      </c>
      <c r="AK211" s="37">
        <v>2.9616724738675959</v>
      </c>
      <c r="AL211" s="40">
        <f t="shared" si="12"/>
        <v>9</v>
      </c>
      <c r="AM211" s="37">
        <f t="shared" si="13"/>
        <v>3.4482758620689653</v>
      </c>
      <c r="AN211" s="40">
        <f t="shared" si="14"/>
        <v>8</v>
      </c>
      <c r="AO211" s="37">
        <f t="shared" si="15"/>
        <v>2.5559105431309903</v>
      </c>
      <c r="AP211" s="38">
        <v>463</v>
      </c>
      <c r="AQ211" s="38">
        <v>207</v>
      </c>
      <c r="AR211" s="38">
        <v>256</v>
      </c>
      <c r="AS211" s="38">
        <v>112</v>
      </c>
      <c r="AT211" s="38">
        <v>50</v>
      </c>
      <c r="AU211" s="38">
        <v>62</v>
      </c>
      <c r="AV211" s="38">
        <v>205</v>
      </c>
      <c r="AW211" s="38">
        <v>97</v>
      </c>
      <c r="AX211" s="38">
        <v>108</v>
      </c>
      <c r="AY211" s="38">
        <v>621</v>
      </c>
      <c r="AZ211" s="38">
        <v>289</v>
      </c>
      <c r="BA211" s="38">
        <v>332</v>
      </c>
      <c r="BB211" s="38">
        <v>65</v>
      </c>
      <c r="BC211" s="37">
        <v>10.466988727858293</v>
      </c>
      <c r="BD211" s="40">
        <v>35</v>
      </c>
      <c r="BE211" s="37">
        <v>12.110726643598616</v>
      </c>
      <c r="BF211" s="40">
        <v>30</v>
      </c>
      <c r="BG211" s="37">
        <v>9.0361445783132535</v>
      </c>
      <c r="BH211" s="38">
        <v>205</v>
      </c>
      <c r="BI211" s="38">
        <v>225</v>
      </c>
      <c r="BJ211" s="38">
        <v>107</v>
      </c>
      <c r="BK211" s="38">
        <v>118</v>
      </c>
      <c r="BL211" s="37">
        <v>91.111111111111114</v>
      </c>
      <c r="BM211" s="37">
        <v>90.654205607476641</v>
      </c>
      <c r="BN211" s="37">
        <v>91.525423728813564</v>
      </c>
      <c r="BO211" s="38">
        <v>274</v>
      </c>
      <c r="BP211" s="38">
        <v>127</v>
      </c>
      <c r="BQ211" s="38">
        <v>147</v>
      </c>
      <c r="BR211" s="37">
        <v>74.81751824817519</v>
      </c>
      <c r="BS211" s="37">
        <v>76.377952755905511</v>
      </c>
      <c r="BT211" s="37">
        <v>73.469387755102048</v>
      </c>
      <c r="BU211" s="2"/>
      <c r="BV211" s="2"/>
    </row>
    <row r="212" spans="1:74" ht="15.75" x14ac:dyDescent="0.3">
      <c r="A212" s="2" t="s">
        <v>54</v>
      </c>
      <c r="B212" s="2" t="s">
        <v>55</v>
      </c>
      <c r="C212" s="2" t="s">
        <v>56</v>
      </c>
      <c r="D212" s="2" t="s">
        <v>674</v>
      </c>
      <c r="E212" s="2" t="s">
        <v>674</v>
      </c>
      <c r="F212" s="2" t="s">
        <v>675</v>
      </c>
      <c r="G212" s="2" t="s">
        <v>60</v>
      </c>
      <c r="H212" s="2" t="s">
        <v>61</v>
      </c>
      <c r="I212" s="2" t="s">
        <v>178</v>
      </c>
      <c r="J212" s="2" t="s">
        <v>178</v>
      </c>
      <c r="K212" s="2" t="s">
        <v>159</v>
      </c>
      <c r="L212" s="2" t="s">
        <v>1263</v>
      </c>
      <c r="M212" s="2">
        <v>97</v>
      </c>
      <c r="N212" s="2" t="s">
        <v>1264</v>
      </c>
      <c r="O212" s="2" t="s">
        <v>1265</v>
      </c>
      <c r="P212" s="2" t="s">
        <v>935</v>
      </c>
      <c r="Q212" s="2" t="s">
        <v>90</v>
      </c>
      <c r="R212" s="2" t="s">
        <v>91</v>
      </c>
      <c r="S212" s="2" t="s">
        <v>1266</v>
      </c>
      <c r="T212" s="2" t="s">
        <v>1267</v>
      </c>
      <c r="U212" s="2" t="s">
        <v>1268</v>
      </c>
      <c r="V212" s="2" t="s">
        <v>1267</v>
      </c>
      <c r="W212" s="2" t="s">
        <v>74</v>
      </c>
      <c r="X212" s="38">
        <v>603</v>
      </c>
      <c r="Y212" s="38">
        <v>270</v>
      </c>
      <c r="Z212" s="38">
        <v>333</v>
      </c>
      <c r="AA212" s="38">
        <v>572</v>
      </c>
      <c r="AB212" s="38">
        <v>250</v>
      </c>
      <c r="AC212" s="38">
        <v>322</v>
      </c>
      <c r="AD212" s="38">
        <v>31</v>
      </c>
      <c r="AE212" s="38">
        <v>20</v>
      </c>
      <c r="AF212" s="38">
        <v>11</v>
      </c>
      <c r="AG212" s="38">
        <v>0</v>
      </c>
      <c r="AH212" s="38">
        <v>0</v>
      </c>
      <c r="AI212" s="38">
        <v>0</v>
      </c>
      <c r="AJ212" s="38">
        <v>0</v>
      </c>
      <c r="AK212" s="37">
        <v>0</v>
      </c>
      <c r="AL212" s="40">
        <f t="shared" si="12"/>
        <v>0</v>
      </c>
      <c r="AM212" s="37">
        <f t="shared" si="13"/>
        <v>0</v>
      </c>
      <c r="AN212" s="40">
        <f t="shared" si="14"/>
        <v>0</v>
      </c>
      <c r="AO212" s="37">
        <f t="shared" si="15"/>
        <v>0</v>
      </c>
      <c r="AP212" s="38">
        <v>603</v>
      </c>
      <c r="AQ212" s="38">
        <v>279</v>
      </c>
      <c r="AR212" s="38">
        <v>324</v>
      </c>
      <c r="AS212" s="38">
        <v>219</v>
      </c>
      <c r="AT212" s="38">
        <v>111</v>
      </c>
      <c r="AU212" s="38">
        <v>108</v>
      </c>
      <c r="AV212" s="38">
        <v>173</v>
      </c>
      <c r="AW212" s="38">
        <v>79</v>
      </c>
      <c r="AX212" s="38">
        <v>94</v>
      </c>
      <c r="AY212" s="38">
        <v>603</v>
      </c>
      <c r="AZ212" s="38">
        <v>270</v>
      </c>
      <c r="BA212" s="38">
        <v>333</v>
      </c>
      <c r="BB212" s="38">
        <v>46</v>
      </c>
      <c r="BC212" s="37">
        <v>7.6285240464344941</v>
      </c>
      <c r="BD212" s="40">
        <v>23</v>
      </c>
      <c r="BE212" s="37">
        <v>8.518518518518519</v>
      </c>
      <c r="BF212" s="40">
        <v>23</v>
      </c>
      <c r="BG212" s="37">
        <v>6.9069069069069062</v>
      </c>
      <c r="BH212" s="38">
        <v>173</v>
      </c>
      <c r="BI212" s="38">
        <v>173</v>
      </c>
      <c r="BJ212" s="38">
        <v>79</v>
      </c>
      <c r="BK212" s="38">
        <v>94</v>
      </c>
      <c r="BL212" s="37">
        <v>100</v>
      </c>
      <c r="BM212" s="37">
        <v>100</v>
      </c>
      <c r="BN212" s="37">
        <v>100</v>
      </c>
      <c r="BO212" s="38">
        <v>193</v>
      </c>
      <c r="BP212" s="38">
        <v>91</v>
      </c>
      <c r="BQ212" s="38">
        <v>102</v>
      </c>
      <c r="BR212" s="37">
        <v>89.637305699481857</v>
      </c>
      <c r="BS212" s="37">
        <v>86.813186813186817</v>
      </c>
      <c r="BT212" s="37">
        <v>92.156862745098039</v>
      </c>
      <c r="BU212" s="2"/>
      <c r="BV212" s="2"/>
    </row>
    <row r="213" spans="1:74" ht="15.75" x14ac:dyDescent="0.3">
      <c r="A213" s="2" t="s">
        <v>54</v>
      </c>
      <c r="B213" s="2" t="s">
        <v>55</v>
      </c>
      <c r="C213" s="2" t="s">
        <v>105</v>
      </c>
      <c r="D213" s="2" t="s">
        <v>674</v>
      </c>
      <c r="E213" s="2" t="s">
        <v>674</v>
      </c>
      <c r="F213" s="2" t="s">
        <v>675</v>
      </c>
      <c r="G213" s="2" t="s">
        <v>60</v>
      </c>
      <c r="H213" s="2" t="s">
        <v>61</v>
      </c>
      <c r="I213" s="2" t="s">
        <v>62</v>
      </c>
      <c r="J213" s="2" t="s">
        <v>63</v>
      </c>
      <c r="K213" s="2" t="s">
        <v>1269</v>
      </c>
      <c r="L213" s="2" t="s">
        <v>1270</v>
      </c>
      <c r="M213" s="2">
        <v>88</v>
      </c>
      <c r="N213" s="2" t="s">
        <v>1271</v>
      </c>
      <c r="O213" s="2" t="s">
        <v>1272</v>
      </c>
      <c r="P213" s="2" t="s">
        <v>1273</v>
      </c>
      <c r="Q213" s="2" t="s">
        <v>69</v>
      </c>
      <c r="R213" s="2" t="s">
        <v>70</v>
      </c>
      <c r="S213" s="2" t="s">
        <v>1274</v>
      </c>
      <c r="T213" s="2" t="s">
        <v>1275</v>
      </c>
      <c r="U213" s="2" t="s">
        <v>1276</v>
      </c>
      <c r="V213" s="2" t="s">
        <v>1275</v>
      </c>
      <c r="W213" s="2" t="s">
        <v>74</v>
      </c>
      <c r="X213" s="38">
        <v>390</v>
      </c>
      <c r="Y213" s="38">
        <v>168</v>
      </c>
      <c r="Z213" s="38">
        <v>222</v>
      </c>
      <c r="AA213" s="38">
        <v>293</v>
      </c>
      <c r="AB213" s="38">
        <v>114</v>
      </c>
      <c r="AC213" s="38">
        <v>179</v>
      </c>
      <c r="AD213" s="38">
        <v>55</v>
      </c>
      <c r="AE213" s="38">
        <v>29</v>
      </c>
      <c r="AF213" s="38">
        <v>26</v>
      </c>
      <c r="AG213" s="38">
        <v>0</v>
      </c>
      <c r="AH213" s="38">
        <v>0</v>
      </c>
      <c r="AI213" s="38">
        <v>0</v>
      </c>
      <c r="AJ213" s="38">
        <v>42</v>
      </c>
      <c r="AK213" s="37">
        <v>10.76923076923077</v>
      </c>
      <c r="AL213" s="40">
        <f t="shared" si="12"/>
        <v>25</v>
      </c>
      <c r="AM213" s="37">
        <f t="shared" si="13"/>
        <v>14.880952380952381</v>
      </c>
      <c r="AN213" s="40">
        <f t="shared" si="14"/>
        <v>17</v>
      </c>
      <c r="AO213" s="37">
        <f t="shared" si="15"/>
        <v>7.6576576576576567</v>
      </c>
      <c r="AP213" s="38">
        <v>448</v>
      </c>
      <c r="AQ213" s="38">
        <v>178</v>
      </c>
      <c r="AR213" s="38">
        <v>270</v>
      </c>
      <c r="AS213" s="38">
        <v>165</v>
      </c>
      <c r="AT213" s="38">
        <v>68</v>
      </c>
      <c r="AU213" s="38">
        <v>97</v>
      </c>
      <c r="AV213" s="38">
        <v>102</v>
      </c>
      <c r="AW213" s="38">
        <v>47</v>
      </c>
      <c r="AX213" s="38">
        <v>55</v>
      </c>
      <c r="AY213" s="38">
        <v>397</v>
      </c>
      <c r="AZ213" s="38">
        <v>165</v>
      </c>
      <c r="BA213" s="38">
        <v>232</v>
      </c>
      <c r="BB213" s="38">
        <v>12</v>
      </c>
      <c r="BC213" s="37">
        <v>3.0226700251889169</v>
      </c>
      <c r="BD213" s="40">
        <v>8</v>
      </c>
      <c r="BE213" s="37">
        <v>4.8484848484848486</v>
      </c>
      <c r="BF213" s="40">
        <v>4</v>
      </c>
      <c r="BG213" s="37">
        <v>1.7241379310344827</v>
      </c>
      <c r="BH213" s="38">
        <v>102</v>
      </c>
      <c r="BI213" s="38">
        <v>115</v>
      </c>
      <c r="BJ213" s="38">
        <v>55</v>
      </c>
      <c r="BK213" s="38">
        <v>60</v>
      </c>
      <c r="BL213" s="37">
        <v>88.695652173913047</v>
      </c>
      <c r="BM213" s="37">
        <v>85.454545454545453</v>
      </c>
      <c r="BN213" s="37">
        <v>91.666666666666657</v>
      </c>
      <c r="BO213" s="38">
        <v>97</v>
      </c>
      <c r="BP213" s="38">
        <v>51</v>
      </c>
      <c r="BQ213" s="38">
        <v>46</v>
      </c>
      <c r="BR213" s="37">
        <v>105.15463917525774</v>
      </c>
      <c r="BS213" s="37">
        <v>92.156862745098039</v>
      </c>
      <c r="BT213" s="37">
        <v>119.56521739130434</v>
      </c>
      <c r="BU213" s="2"/>
      <c r="BV213" s="2"/>
    </row>
    <row r="214" spans="1:74" ht="15.75" x14ac:dyDescent="0.3">
      <c r="A214" s="2" t="s">
        <v>54</v>
      </c>
      <c r="B214" s="2" t="s">
        <v>55</v>
      </c>
      <c r="C214" s="2" t="s">
        <v>105</v>
      </c>
      <c r="D214" s="2" t="s">
        <v>674</v>
      </c>
      <c r="E214" s="2" t="s">
        <v>674</v>
      </c>
      <c r="F214" s="2" t="s">
        <v>675</v>
      </c>
      <c r="G214" s="2" t="s">
        <v>60</v>
      </c>
      <c r="H214" s="2" t="s">
        <v>61</v>
      </c>
      <c r="I214" s="2" t="s">
        <v>62</v>
      </c>
      <c r="J214" s="2" t="s">
        <v>63</v>
      </c>
      <c r="K214" s="2" t="s">
        <v>64</v>
      </c>
      <c r="L214" s="2" t="s">
        <v>1277</v>
      </c>
      <c r="M214" s="2">
        <v>990</v>
      </c>
      <c r="N214" s="2" t="s">
        <v>1278</v>
      </c>
      <c r="O214" s="2" t="s">
        <v>1279</v>
      </c>
      <c r="P214" s="2" t="s">
        <v>1024</v>
      </c>
      <c r="Q214" s="2" t="s">
        <v>69</v>
      </c>
      <c r="R214" s="2" t="s">
        <v>70</v>
      </c>
      <c r="S214" s="2" t="s">
        <v>1280</v>
      </c>
      <c r="T214" s="2" t="s">
        <v>1281</v>
      </c>
      <c r="U214" s="2" t="s">
        <v>1282</v>
      </c>
      <c r="V214" s="2" t="s">
        <v>1281</v>
      </c>
      <c r="W214" s="2" t="s">
        <v>74</v>
      </c>
      <c r="X214" s="38">
        <v>88</v>
      </c>
      <c r="Y214" s="38">
        <v>43</v>
      </c>
      <c r="Z214" s="38">
        <v>45</v>
      </c>
      <c r="AA214" s="38">
        <v>75</v>
      </c>
      <c r="AB214" s="38">
        <v>34</v>
      </c>
      <c r="AC214" s="38">
        <v>41</v>
      </c>
      <c r="AD214" s="38">
        <v>9</v>
      </c>
      <c r="AE214" s="38">
        <v>6</v>
      </c>
      <c r="AF214" s="38">
        <v>3</v>
      </c>
      <c r="AG214" s="38">
        <v>0</v>
      </c>
      <c r="AH214" s="38">
        <v>0</v>
      </c>
      <c r="AI214" s="38">
        <v>0</v>
      </c>
      <c r="AJ214" s="38">
        <v>4</v>
      </c>
      <c r="AK214" s="37">
        <v>4.5454545454545459</v>
      </c>
      <c r="AL214" s="40">
        <f t="shared" si="12"/>
        <v>3</v>
      </c>
      <c r="AM214" s="37">
        <f t="shared" si="13"/>
        <v>6.9767441860465116</v>
      </c>
      <c r="AN214" s="40">
        <f t="shared" si="14"/>
        <v>1</v>
      </c>
      <c r="AO214" s="37">
        <f t="shared" si="15"/>
        <v>2.2222222222222223</v>
      </c>
      <c r="AP214" s="38">
        <v>63</v>
      </c>
      <c r="AQ214" s="38">
        <v>26</v>
      </c>
      <c r="AR214" s="38">
        <v>37</v>
      </c>
      <c r="AS214" s="38">
        <v>15</v>
      </c>
      <c r="AT214" s="38">
        <v>4</v>
      </c>
      <c r="AU214" s="38">
        <v>11</v>
      </c>
      <c r="AV214" s="38">
        <v>34</v>
      </c>
      <c r="AW214" s="38">
        <v>17</v>
      </c>
      <c r="AX214" s="38">
        <v>17</v>
      </c>
      <c r="AY214" s="38">
        <v>88</v>
      </c>
      <c r="AZ214" s="38">
        <v>43</v>
      </c>
      <c r="BA214" s="38">
        <v>45</v>
      </c>
      <c r="BB214" s="38">
        <v>6</v>
      </c>
      <c r="BC214" s="37">
        <v>6.8181818181818175</v>
      </c>
      <c r="BD214" s="40">
        <v>4</v>
      </c>
      <c r="BE214" s="37">
        <v>9.3023255813953494</v>
      </c>
      <c r="BF214" s="40">
        <v>2</v>
      </c>
      <c r="BG214" s="37">
        <v>4.4444444444444446</v>
      </c>
      <c r="BH214" s="38">
        <v>34</v>
      </c>
      <c r="BI214" s="38">
        <v>34</v>
      </c>
      <c r="BJ214" s="38">
        <v>15</v>
      </c>
      <c r="BK214" s="38">
        <v>19</v>
      </c>
      <c r="BL214" s="37">
        <v>100</v>
      </c>
      <c r="BM214" s="37">
        <v>113.33333333333333</v>
      </c>
      <c r="BN214" s="37">
        <v>89.473684210526315</v>
      </c>
      <c r="BO214" s="38">
        <v>43</v>
      </c>
      <c r="BP214" s="38">
        <v>19</v>
      </c>
      <c r="BQ214" s="38">
        <v>24</v>
      </c>
      <c r="BR214" s="37">
        <v>79.069767441860463</v>
      </c>
      <c r="BS214" s="37">
        <v>89.473684210526315</v>
      </c>
      <c r="BT214" s="37">
        <v>70.833333333333343</v>
      </c>
      <c r="BU214" s="2"/>
      <c r="BV214" s="2"/>
    </row>
    <row r="215" spans="1:74" ht="15.75" x14ac:dyDescent="0.3">
      <c r="A215" s="2" t="s">
        <v>54</v>
      </c>
      <c r="B215" s="2" t="s">
        <v>55</v>
      </c>
      <c r="C215" s="2" t="s">
        <v>56</v>
      </c>
      <c r="D215" s="2" t="s">
        <v>674</v>
      </c>
      <c r="E215" s="2" t="s">
        <v>674</v>
      </c>
      <c r="F215" s="2" t="s">
        <v>675</v>
      </c>
      <c r="G215" s="2" t="s">
        <v>60</v>
      </c>
      <c r="H215" s="2" t="s">
        <v>61</v>
      </c>
      <c r="I215" s="2" t="s">
        <v>62</v>
      </c>
      <c r="J215" s="2" t="s">
        <v>63</v>
      </c>
      <c r="K215" s="2" t="s">
        <v>760</v>
      </c>
      <c r="L215" s="2" t="s">
        <v>761</v>
      </c>
      <c r="M215" s="2">
        <v>148</v>
      </c>
      <c r="N215" s="2" t="s">
        <v>1283</v>
      </c>
      <c r="O215" s="2" t="s">
        <v>763</v>
      </c>
      <c r="P215" s="2" t="s">
        <v>764</v>
      </c>
      <c r="Q215" s="2" t="s">
        <v>69</v>
      </c>
      <c r="R215" s="2" t="s">
        <v>70</v>
      </c>
      <c r="S215" s="2" t="s">
        <v>765</v>
      </c>
      <c r="T215" s="2" t="s">
        <v>766</v>
      </c>
      <c r="U215" s="2" t="s">
        <v>1284</v>
      </c>
      <c r="V215" s="2" t="s">
        <v>1285</v>
      </c>
      <c r="W215" s="2" t="s">
        <v>74</v>
      </c>
      <c r="X215" s="38">
        <v>28</v>
      </c>
      <c r="Y215" s="38">
        <v>8</v>
      </c>
      <c r="Z215" s="38">
        <v>20</v>
      </c>
      <c r="AA215" s="38">
        <v>18</v>
      </c>
      <c r="AB215" s="38">
        <v>4</v>
      </c>
      <c r="AC215" s="38">
        <v>14</v>
      </c>
      <c r="AD215" s="38">
        <v>10</v>
      </c>
      <c r="AE215" s="38">
        <v>4</v>
      </c>
      <c r="AF215" s="38">
        <v>6</v>
      </c>
      <c r="AG215" s="38">
        <v>0</v>
      </c>
      <c r="AH215" s="38">
        <v>0</v>
      </c>
      <c r="AI215" s="38">
        <v>0</v>
      </c>
      <c r="AJ215" s="38">
        <v>0</v>
      </c>
      <c r="AK215" s="37">
        <v>0</v>
      </c>
      <c r="AL215" s="40">
        <f t="shared" si="12"/>
        <v>0</v>
      </c>
      <c r="AM215" s="37">
        <f t="shared" si="13"/>
        <v>0</v>
      </c>
      <c r="AN215" s="40">
        <f t="shared" si="14"/>
        <v>0</v>
      </c>
      <c r="AO215" s="37">
        <f t="shared" si="15"/>
        <v>0</v>
      </c>
      <c r="AP215" s="38">
        <v>6</v>
      </c>
      <c r="AQ215" s="38">
        <v>4</v>
      </c>
      <c r="AR215" s="38">
        <v>2</v>
      </c>
      <c r="AS215" s="38">
        <v>1</v>
      </c>
      <c r="AT215" s="38">
        <v>1</v>
      </c>
      <c r="AU215" s="38">
        <v>0</v>
      </c>
      <c r="AV215" s="38">
        <v>18</v>
      </c>
      <c r="AW215" s="38">
        <v>4</v>
      </c>
      <c r="AX215" s="38">
        <v>14</v>
      </c>
      <c r="AY215" s="38">
        <v>31</v>
      </c>
      <c r="AZ215" s="38">
        <v>10</v>
      </c>
      <c r="BA215" s="38">
        <v>21</v>
      </c>
      <c r="BB215" s="38">
        <v>8</v>
      </c>
      <c r="BC215" s="37">
        <v>25.806451612903224</v>
      </c>
      <c r="BD215" s="40">
        <v>3</v>
      </c>
      <c r="BE215" s="37">
        <v>30</v>
      </c>
      <c r="BF215" s="40">
        <v>5</v>
      </c>
      <c r="BG215" s="37">
        <v>23.809523809523807</v>
      </c>
      <c r="BH215" s="38">
        <v>18</v>
      </c>
      <c r="BI215" s="38">
        <v>20</v>
      </c>
      <c r="BJ215" s="38">
        <v>4</v>
      </c>
      <c r="BK215" s="38">
        <v>16</v>
      </c>
      <c r="BL215" s="37">
        <v>90</v>
      </c>
      <c r="BM215" s="37">
        <v>100</v>
      </c>
      <c r="BN215" s="37">
        <v>87.5</v>
      </c>
      <c r="BO215" s="38">
        <v>22</v>
      </c>
      <c r="BP215" s="38">
        <v>7</v>
      </c>
      <c r="BQ215" s="38">
        <v>15</v>
      </c>
      <c r="BR215" s="37">
        <v>81.818181818181827</v>
      </c>
      <c r="BS215" s="37">
        <v>57.142857142857139</v>
      </c>
      <c r="BT215" s="37">
        <v>93.333333333333329</v>
      </c>
      <c r="BU215" s="2"/>
      <c r="BV215" s="2"/>
    </row>
    <row r="216" spans="1:74" ht="15.75" x14ac:dyDescent="0.3">
      <c r="A216" s="2" t="s">
        <v>54</v>
      </c>
      <c r="B216" s="2" t="s">
        <v>55</v>
      </c>
      <c r="C216" s="2" t="s">
        <v>56</v>
      </c>
      <c r="D216" s="2" t="s">
        <v>674</v>
      </c>
      <c r="E216" s="2" t="s">
        <v>674</v>
      </c>
      <c r="F216" s="2" t="s">
        <v>675</v>
      </c>
      <c r="G216" s="2" t="s">
        <v>60</v>
      </c>
      <c r="H216" s="2" t="s">
        <v>61</v>
      </c>
      <c r="I216" s="2" t="s">
        <v>122</v>
      </c>
      <c r="J216" s="2" t="s">
        <v>884</v>
      </c>
      <c r="K216" s="2" t="s">
        <v>884</v>
      </c>
      <c r="L216" s="2" t="s">
        <v>1286</v>
      </c>
      <c r="M216" s="2">
        <v>18</v>
      </c>
      <c r="N216" s="2" t="s">
        <v>1287</v>
      </c>
      <c r="O216" s="2" t="s">
        <v>1288</v>
      </c>
      <c r="P216" s="2" t="s">
        <v>1289</v>
      </c>
      <c r="Q216" s="2" t="s">
        <v>69</v>
      </c>
      <c r="R216" s="2" t="s">
        <v>70</v>
      </c>
      <c r="S216" s="2" t="s">
        <v>1290</v>
      </c>
      <c r="T216" s="2" t="s">
        <v>1291</v>
      </c>
      <c r="U216" s="2" t="s">
        <v>1292</v>
      </c>
      <c r="V216" s="2" t="s">
        <v>1291</v>
      </c>
      <c r="W216" s="2" t="s">
        <v>84</v>
      </c>
      <c r="X216" s="38">
        <v>942</v>
      </c>
      <c r="Y216" s="38">
        <v>428</v>
      </c>
      <c r="Z216" s="38">
        <v>514</v>
      </c>
      <c r="AA216" s="38">
        <v>515</v>
      </c>
      <c r="AB216" s="38">
        <v>203</v>
      </c>
      <c r="AC216" s="38">
        <v>312</v>
      </c>
      <c r="AD216" s="38">
        <v>37</v>
      </c>
      <c r="AE216" s="38">
        <v>25</v>
      </c>
      <c r="AF216" s="38">
        <v>12</v>
      </c>
      <c r="AG216" s="38">
        <v>0</v>
      </c>
      <c r="AH216" s="38">
        <v>0</v>
      </c>
      <c r="AI216" s="38">
        <v>0</v>
      </c>
      <c r="AJ216" s="38">
        <v>390</v>
      </c>
      <c r="AK216" s="37">
        <v>41.401273885350321</v>
      </c>
      <c r="AL216" s="40">
        <f t="shared" si="12"/>
        <v>200</v>
      </c>
      <c r="AM216" s="37">
        <f t="shared" si="13"/>
        <v>46.728971962616825</v>
      </c>
      <c r="AN216" s="40">
        <f t="shared" si="14"/>
        <v>190</v>
      </c>
      <c r="AO216" s="37">
        <f t="shared" si="15"/>
        <v>36.964980544747085</v>
      </c>
      <c r="AP216" s="38">
        <v>1091</v>
      </c>
      <c r="AQ216" s="38">
        <v>520</v>
      </c>
      <c r="AR216" s="38">
        <v>571</v>
      </c>
      <c r="AS216" s="38">
        <v>410</v>
      </c>
      <c r="AT216" s="38">
        <v>210</v>
      </c>
      <c r="AU216" s="38">
        <v>200</v>
      </c>
      <c r="AV216" s="38">
        <v>217</v>
      </c>
      <c r="AW216" s="38">
        <v>92</v>
      </c>
      <c r="AX216" s="38">
        <v>125</v>
      </c>
      <c r="AY216" s="38">
        <v>942</v>
      </c>
      <c r="AZ216" s="38">
        <v>428</v>
      </c>
      <c r="BA216" s="38">
        <v>514</v>
      </c>
      <c r="BB216" s="38">
        <v>44</v>
      </c>
      <c r="BC216" s="37">
        <v>4.6709129511677281</v>
      </c>
      <c r="BD216" s="40">
        <v>26</v>
      </c>
      <c r="BE216" s="37">
        <v>6.0747663551401869</v>
      </c>
      <c r="BF216" s="40">
        <v>18</v>
      </c>
      <c r="BG216" s="37">
        <v>3.5019455252918288</v>
      </c>
      <c r="BH216" s="38">
        <v>217</v>
      </c>
      <c r="BI216" s="38">
        <v>230</v>
      </c>
      <c r="BJ216" s="38">
        <v>101</v>
      </c>
      <c r="BK216" s="38">
        <v>129</v>
      </c>
      <c r="BL216" s="37">
        <v>94.347826086956516</v>
      </c>
      <c r="BM216" s="37">
        <v>91.089108910891099</v>
      </c>
      <c r="BN216" s="37">
        <v>96.899224806201545</v>
      </c>
      <c r="BO216" s="38">
        <v>484</v>
      </c>
      <c r="BP216" s="38">
        <v>220</v>
      </c>
      <c r="BQ216" s="38">
        <v>264</v>
      </c>
      <c r="BR216" s="37">
        <v>44.834710743801651</v>
      </c>
      <c r="BS216" s="37">
        <v>41.818181818181813</v>
      </c>
      <c r="BT216" s="37">
        <v>47.348484848484851</v>
      </c>
      <c r="BU216" s="2"/>
      <c r="BV216" s="2"/>
    </row>
    <row r="217" spans="1:74" ht="15.75" x14ac:dyDescent="0.3">
      <c r="A217" s="2" t="s">
        <v>54</v>
      </c>
      <c r="B217" s="2" t="s">
        <v>55</v>
      </c>
      <c r="C217" s="2" t="s">
        <v>56</v>
      </c>
      <c r="D217" s="2" t="s">
        <v>674</v>
      </c>
      <c r="E217" s="2" t="s">
        <v>674</v>
      </c>
      <c r="F217" s="2" t="s">
        <v>675</v>
      </c>
      <c r="G217" s="2" t="s">
        <v>149</v>
      </c>
      <c r="H217" s="2" t="s">
        <v>149</v>
      </c>
      <c r="I217" s="2" t="s">
        <v>178</v>
      </c>
      <c r="J217" s="2" t="s">
        <v>1241</v>
      </c>
      <c r="K217" s="2" t="s">
        <v>76</v>
      </c>
      <c r="L217" s="2" t="s">
        <v>1242</v>
      </c>
      <c r="M217" s="2">
        <v>16</v>
      </c>
      <c r="N217" s="2" t="s">
        <v>1293</v>
      </c>
      <c r="O217" s="2" t="s">
        <v>1294</v>
      </c>
      <c r="P217" s="2" t="s">
        <v>80</v>
      </c>
      <c r="Q217" s="2" t="s">
        <v>90</v>
      </c>
      <c r="R217" s="2" t="s">
        <v>91</v>
      </c>
      <c r="S217" s="2" t="s">
        <v>1295</v>
      </c>
      <c r="T217" s="2" t="s">
        <v>1296</v>
      </c>
      <c r="U217" s="2" t="s">
        <v>1297</v>
      </c>
      <c r="V217" s="2" t="s">
        <v>1296</v>
      </c>
      <c r="W217" s="2" t="s">
        <v>74</v>
      </c>
      <c r="X217" s="38">
        <v>10</v>
      </c>
      <c r="Y217" s="38">
        <v>5</v>
      </c>
      <c r="Z217" s="38">
        <v>5</v>
      </c>
      <c r="AA217" s="38">
        <v>10</v>
      </c>
      <c r="AB217" s="38">
        <v>5</v>
      </c>
      <c r="AC217" s="38">
        <v>5</v>
      </c>
      <c r="AD217" s="38">
        <v>0</v>
      </c>
      <c r="AE217" s="38">
        <v>0</v>
      </c>
      <c r="AF217" s="38">
        <v>0</v>
      </c>
      <c r="AG217" s="38">
        <v>0</v>
      </c>
      <c r="AH217" s="38">
        <v>0</v>
      </c>
      <c r="AI217" s="38">
        <v>0</v>
      </c>
      <c r="AJ217" s="38">
        <v>0</v>
      </c>
      <c r="AK217" s="37">
        <v>0</v>
      </c>
      <c r="AL217" s="40">
        <f t="shared" si="12"/>
        <v>0</v>
      </c>
      <c r="AM217" s="37">
        <f t="shared" si="13"/>
        <v>0</v>
      </c>
      <c r="AN217" s="40">
        <f t="shared" si="14"/>
        <v>0</v>
      </c>
      <c r="AO217" s="37">
        <f t="shared" si="15"/>
        <v>0</v>
      </c>
      <c r="AP217" s="38">
        <v>2</v>
      </c>
      <c r="AQ217" s="38">
        <v>0</v>
      </c>
      <c r="AR217" s="38">
        <v>2</v>
      </c>
      <c r="AS217" s="38">
        <v>2</v>
      </c>
      <c r="AT217" s="38">
        <v>0</v>
      </c>
      <c r="AU217" s="38">
        <v>2</v>
      </c>
      <c r="AV217" s="38">
        <v>8</v>
      </c>
      <c r="AW217" s="38">
        <v>5</v>
      </c>
      <c r="AX217" s="38">
        <v>3</v>
      </c>
      <c r="AY217" s="38">
        <v>11</v>
      </c>
      <c r="AZ217" s="38">
        <v>6</v>
      </c>
      <c r="BA217" s="38">
        <v>5</v>
      </c>
      <c r="BB217" s="38">
        <v>3</v>
      </c>
      <c r="BC217" s="37">
        <v>27.27272727272727</v>
      </c>
      <c r="BD217" s="40">
        <v>1</v>
      </c>
      <c r="BE217" s="37">
        <v>16.666666666666664</v>
      </c>
      <c r="BF217" s="40">
        <v>2</v>
      </c>
      <c r="BG217" s="37">
        <v>40</v>
      </c>
      <c r="BH217" s="38">
        <v>8</v>
      </c>
      <c r="BI217" s="38">
        <v>8</v>
      </c>
      <c r="BJ217" s="38">
        <v>5</v>
      </c>
      <c r="BK217" s="38">
        <v>3</v>
      </c>
      <c r="BL217" s="37">
        <v>100</v>
      </c>
      <c r="BM217" s="37">
        <v>100</v>
      </c>
      <c r="BN217" s="37">
        <v>100</v>
      </c>
      <c r="BO217" s="38">
        <v>11</v>
      </c>
      <c r="BP217" s="38">
        <v>6</v>
      </c>
      <c r="BQ217" s="38">
        <v>5</v>
      </c>
      <c r="BR217" s="37">
        <v>72.727272727272734</v>
      </c>
      <c r="BS217" s="37">
        <v>83.333333333333343</v>
      </c>
      <c r="BT217" s="37">
        <v>60</v>
      </c>
      <c r="BU217" s="2"/>
      <c r="BV217" s="2"/>
    </row>
    <row r="218" spans="1:74" ht="15.75" x14ac:dyDescent="0.3">
      <c r="A218" s="2" t="s">
        <v>54</v>
      </c>
      <c r="B218" s="2" t="s">
        <v>55</v>
      </c>
      <c r="C218" s="2" t="s">
        <v>105</v>
      </c>
      <c r="D218" s="2" t="s">
        <v>674</v>
      </c>
      <c r="E218" s="2" t="s">
        <v>674</v>
      </c>
      <c r="F218" s="2" t="s">
        <v>675</v>
      </c>
      <c r="G218" s="2" t="s">
        <v>60</v>
      </c>
      <c r="H218" s="2" t="s">
        <v>61</v>
      </c>
      <c r="I218" s="2" t="s">
        <v>178</v>
      </c>
      <c r="J218" s="2" t="s">
        <v>178</v>
      </c>
      <c r="K218" s="2" t="s">
        <v>1298</v>
      </c>
      <c r="L218" s="2" t="s">
        <v>1299</v>
      </c>
      <c r="M218" s="2">
        <v>2</v>
      </c>
      <c r="N218" s="2" t="s">
        <v>1300</v>
      </c>
      <c r="O218" s="2" t="s">
        <v>1301</v>
      </c>
      <c r="P218" s="2" t="s">
        <v>80</v>
      </c>
      <c r="Q218" s="2" t="s">
        <v>90</v>
      </c>
      <c r="R218" s="2" t="s">
        <v>91</v>
      </c>
      <c r="S218" s="2" t="s">
        <v>1302</v>
      </c>
      <c r="T218" s="2" t="s">
        <v>1303</v>
      </c>
      <c r="U218" s="2" t="s">
        <v>1304</v>
      </c>
      <c r="V218" s="2" t="s">
        <v>1303</v>
      </c>
      <c r="W218" s="2" t="s">
        <v>74</v>
      </c>
      <c r="X218" s="38">
        <v>52</v>
      </c>
      <c r="Y218" s="38">
        <v>31</v>
      </c>
      <c r="Z218" s="38">
        <v>21</v>
      </c>
      <c r="AA218" s="38">
        <v>52</v>
      </c>
      <c r="AB218" s="38">
        <v>31</v>
      </c>
      <c r="AC218" s="38">
        <v>21</v>
      </c>
      <c r="AD218" s="38">
        <v>0</v>
      </c>
      <c r="AE218" s="38">
        <v>0</v>
      </c>
      <c r="AF218" s="38">
        <v>0</v>
      </c>
      <c r="AG218" s="38">
        <v>0</v>
      </c>
      <c r="AH218" s="38">
        <v>0</v>
      </c>
      <c r="AI218" s="38">
        <v>0</v>
      </c>
      <c r="AJ218" s="38">
        <v>0</v>
      </c>
      <c r="AK218" s="37">
        <v>0</v>
      </c>
      <c r="AL218" s="40">
        <f t="shared" si="12"/>
        <v>0</v>
      </c>
      <c r="AM218" s="37">
        <f t="shared" si="13"/>
        <v>0</v>
      </c>
      <c r="AN218" s="40">
        <f t="shared" si="14"/>
        <v>0</v>
      </c>
      <c r="AO218" s="37">
        <f t="shared" si="15"/>
        <v>0</v>
      </c>
      <c r="AP218" s="38">
        <v>52</v>
      </c>
      <c r="AQ218" s="38">
        <v>31</v>
      </c>
      <c r="AR218" s="38">
        <v>21</v>
      </c>
      <c r="AS218" s="38">
        <v>21</v>
      </c>
      <c r="AT218" s="38">
        <v>10</v>
      </c>
      <c r="AU218" s="38">
        <v>11</v>
      </c>
      <c r="AV218" s="38">
        <v>0</v>
      </c>
      <c r="AW218" s="38">
        <v>0</v>
      </c>
      <c r="AX218" s="38">
        <v>0</v>
      </c>
      <c r="AY218" s="38">
        <v>42</v>
      </c>
      <c r="AZ218" s="38">
        <v>24</v>
      </c>
      <c r="BA218" s="38">
        <v>18</v>
      </c>
      <c r="BB218" s="38">
        <v>11</v>
      </c>
      <c r="BC218" s="37">
        <v>26.190476190476193</v>
      </c>
      <c r="BD218" s="40">
        <v>3</v>
      </c>
      <c r="BE218" s="37">
        <v>12.5</v>
      </c>
      <c r="BF218" s="40">
        <v>8</v>
      </c>
      <c r="BG218" s="37">
        <v>44.444444444444443</v>
      </c>
      <c r="BH218" s="38">
        <v>0</v>
      </c>
      <c r="BI218" s="38">
        <v>13</v>
      </c>
      <c r="BJ218" s="38">
        <v>9</v>
      </c>
      <c r="BK218" s="38">
        <v>4</v>
      </c>
      <c r="BL218" s="37">
        <v>0</v>
      </c>
      <c r="BM218" s="37">
        <v>0</v>
      </c>
      <c r="BN218" s="37">
        <v>0</v>
      </c>
      <c r="BO218" s="38">
        <v>16</v>
      </c>
      <c r="BP218" s="38">
        <v>11</v>
      </c>
      <c r="BQ218" s="38">
        <v>5</v>
      </c>
      <c r="BR218" s="37">
        <v>0</v>
      </c>
      <c r="BS218" s="37">
        <v>0</v>
      </c>
      <c r="BT218" s="37">
        <v>0</v>
      </c>
      <c r="BU218" s="2"/>
      <c r="BV218" s="2"/>
    </row>
    <row r="219" spans="1:74" ht="15.75" x14ac:dyDescent="0.3">
      <c r="A219" s="2" t="s">
        <v>54</v>
      </c>
      <c r="B219" s="2" t="s">
        <v>55</v>
      </c>
      <c r="C219" s="2" t="s">
        <v>105</v>
      </c>
      <c r="D219" s="2" t="s">
        <v>674</v>
      </c>
      <c r="E219" s="2" t="s">
        <v>674</v>
      </c>
      <c r="F219" s="2" t="s">
        <v>675</v>
      </c>
      <c r="G219" s="2" t="s">
        <v>60</v>
      </c>
      <c r="H219" s="2" t="s">
        <v>61</v>
      </c>
      <c r="I219" s="2" t="s">
        <v>62</v>
      </c>
      <c r="J219" s="2" t="s">
        <v>63</v>
      </c>
      <c r="K219" s="2" t="s">
        <v>1127</v>
      </c>
      <c r="L219" s="2" t="s">
        <v>1128</v>
      </c>
      <c r="M219" s="2">
        <v>64</v>
      </c>
      <c r="N219" s="2" t="s">
        <v>1129</v>
      </c>
      <c r="O219" s="2" t="s">
        <v>1130</v>
      </c>
      <c r="P219" s="2" t="s">
        <v>1131</v>
      </c>
      <c r="Q219" s="2" t="s">
        <v>69</v>
      </c>
      <c r="R219" s="2" t="s">
        <v>70</v>
      </c>
      <c r="S219" s="2" t="s">
        <v>1132</v>
      </c>
      <c r="T219" s="2" t="s">
        <v>1133</v>
      </c>
      <c r="U219" s="2" t="s">
        <v>1305</v>
      </c>
      <c r="V219" s="2" t="s">
        <v>1133</v>
      </c>
      <c r="W219" s="2" t="s">
        <v>74</v>
      </c>
      <c r="X219" s="38">
        <v>104</v>
      </c>
      <c r="Y219" s="38">
        <v>50</v>
      </c>
      <c r="Z219" s="38">
        <v>54</v>
      </c>
      <c r="AA219" s="38">
        <v>84</v>
      </c>
      <c r="AB219" s="38">
        <v>35</v>
      </c>
      <c r="AC219" s="38">
        <v>49</v>
      </c>
      <c r="AD219" s="38">
        <v>20</v>
      </c>
      <c r="AE219" s="38">
        <v>15</v>
      </c>
      <c r="AF219" s="38">
        <v>5</v>
      </c>
      <c r="AG219" s="38">
        <v>0</v>
      </c>
      <c r="AH219" s="38">
        <v>0</v>
      </c>
      <c r="AI219" s="38">
        <v>0</v>
      </c>
      <c r="AJ219" s="38">
        <v>0</v>
      </c>
      <c r="AK219" s="37">
        <v>0</v>
      </c>
      <c r="AL219" s="40">
        <f t="shared" si="12"/>
        <v>0</v>
      </c>
      <c r="AM219" s="37">
        <f t="shared" si="13"/>
        <v>0</v>
      </c>
      <c r="AN219" s="40">
        <f t="shared" si="14"/>
        <v>0</v>
      </c>
      <c r="AO219" s="37">
        <f t="shared" si="15"/>
        <v>0</v>
      </c>
      <c r="AP219" s="38">
        <v>95</v>
      </c>
      <c r="AQ219" s="38">
        <v>45</v>
      </c>
      <c r="AR219" s="38">
        <v>50</v>
      </c>
      <c r="AS219" s="38">
        <v>1</v>
      </c>
      <c r="AT219" s="38">
        <v>1</v>
      </c>
      <c r="AU219" s="38">
        <v>0</v>
      </c>
      <c r="AV219" s="38">
        <v>0</v>
      </c>
      <c r="AW219" s="38">
        <v>0</v>
      </c>
      <c r="AX219" s="38">
        <v>0</v>
      </c>
      <c r="AY219" s="38">
        <v>104</v>
      </c>
      <c r="AZ219" s="38">
        <v>50</v>
      </c>
      <c r="BA219" s="38">
        <v>54</v>
      </c>
      <c r="BB219" s="38">
        <v>10</v>
      </c>
      <c r="BC219" s="37">
        <v>9.6153846153846168</v>
      </c>
      <c r="BD219" s="40">
        <v>6</v>
      </c>
      <c r="BE219" s="37">
        <v>12</v>
      </c>
      <c r="BF219" s="40">
        <v>4</v>
      </c>
      <c r="BG219" s="37">
        <v>7.4074074074074066</v>
      </c>
      <c r="BH219" s="38">
        <v>0</v>
      </c>
      <c r="BI219" s="38">
        <v>29</v>
      </c>
      <c r="BJ219" s="38">
        <v>11</v>
      </c>
      <c r="BK219" s="38">
        <v>18</v>
      </c>
      <c r="BL219" s="37">
        <v>0</v>
      </c>
      <c r="BM219" s="37">
        <v>0</v>
      </c>
      <c r="BN219" s="37">
        <v>0</v>
      </c>
      <c r="BO219" s="38">
        <v>38</v>
      </c>
      <c r="BP219" s="38">
        <v>17</v>
      </c>
      <c r="BQ219" s="38">
        <v>21</v>
      </c>
      <c r="BR219" s="37">
        <v>0</v>
      </c>
      <c r="BS219" s="37">
        <v>0</v>
      </c>
      <c r="BT219" s="37">
        <v>0</v>
      </c>
      <c r="BU219" s="2"/>
      <c r="BV219" s="2"/>
    </row>
    <row r="220" spans="1:74" ht="15.75" x14ac:dyDescent="0.3">
      <c r="A220" s="2" t="s">
        <v>54</v>
      </c>
      <c r="B220" s="2" t="s">
        <v>55</v>
      </c>
      <c r="C220" s="2" t="s">
        <v>105</v>
      </c>
      <c r="D220" s="2" t="s">
        <v>674</v>
      </c>
      <c r="E220" s="2" t="s">
        <v>674</v>
      </c>
      <c r="F220" s="2" t="s">
        <v>675</v>
      </c>
      <c r="G220" s="2" t="s">
        <v>60</v>
      </c>
      <c r="H220" s="2" t="s">
        <v>61</v>
      </c>
      <c r="I220" s="2" t="s">
        <v>62</v>
      </c>
      <c r="J220" s="2" t="s">
        <v>63</v>
      </c>
      <c r="K220" s="2" t="s">
        <v>1306</v>
      </c>
      <c r="L220" s="2" t="s">
        <v>1307</v>
      </c>
      <c r="M220" s="2">
        <v>61</v>
      </c>
      <c r="N220" s="2" t="s">
        <v>1308</v>
      </c>
      <c r="O220" s="2" t="s">
        <v>1309</v>
      </c>
      <c r="P220" s="2" t="s">
        <v>744</v>
      </c>
      <c r="Q220" s="2" t="s">
        <v>69</v>
      </c>
      <c r="R220" s="2" t="s">
        <v>70</v>
      </c>
      <c r="S220" s="2" t="s">
        <v>1310</v>
      </c>
      <c r="T220" s="2" t="s">
        <v>1311</v>
      </c>
      <c r="U220" s="2" t="s">
        <v>1312</v>
      </c>
      <c r="V220" s="2" t="s">
        <v>1311</v>
      </c>
      <c r="W220" s="2" t="s">
        <v>74</v>
      </c>
      <c r="X220" s="38">
        <v>205</v>
      </c>
      <c r="Y220" s="38">
        <v>96</v>
      </c>
      <c r="Z220" s="38">
        <v>109</v>
      </c>
      <c r="AA220" s="38">
        <v>201</v>
      </c>
      <c r="AB220" s="38">
        <v>94</v>
      </c>
      <c r="AC220" s="38">
        <v>107</v>
      </c>
      <c r="AD220" s="38">
        <v>0</v>
      </c>
      <c r="AE220" s="38">
        <v>0</v>
      </c>
      <c r="AF220" s="38">
        <v>0</v>
      </c>
      <c r="AG220" s="38">
        <v>0</v>
      </c>
      <c r="AH220" s="38">
        <v>0</v>
      </c>
      <c r="AI220" s="38">
        <v>0</v>
      </c>
      <c r="AJ220" s="38">
        <v>4</v>
      </c>
      <c r="AK220" s="37">
        <v>1.9512195121951219</v>
      </c>
      <c r="AL220" s="40">
        <f t="shared" si="12"/>
        <v>2</v>
      </c>
      <c r="AM220" s="37">
        <f t="shared" si="13"/>
        <v>2.083333333333333</v>
      </c>
      <c r="AN220" s="40">
        <f t="shared" si="14"/>
        <v>2</v>
      </c>
      <c r="AO220" s="37">
        <f t="shared" si="15"/>
        <v>1.834862385321101</v>
      </c>
      <c r="AP220" s="38">
        <v>182</v>
      </c>
      <c r="AQ220" s="38">
        <v>77</v>
      </c>
      <c r="AR220" s="38">
        <v>105</v>
      </c>
      <c r="AS220" s="38">
        <v>59</v>
      </c>
      <c r="AT220" s="38">
        <v>27</v>
      </c>
      <c r="AU220" s="38">
        <v>32</v>
      </c>
      <c r="AV220" s="38">
        <v>74</v>
      </c>
      <c r="AW220" s="38">
        <v>35</v>
      </c>
      <c r="AX220" s="38">
        <v>39</v>
      </c>
      <c r="AY220" s="38">
        <v>205</v>
      </c>
      <c r="AZ220" s="38">
        <v>96</v>
      </c>
      <c r="BA220" s="38">
        <v>109</v>
      </c>
      <c r="BB220" s="38">
        <v>8</v>
      </c>
      <c r="BC220" s="37">
        <v>3.9024390243902438</v>
      </c>
      <c r="BD220" s="40">
        <v>11</v>
      </c>
      <c r="BE220" s="37">
        <v>11.458333333333332</v>
      </c>
      <c r="BF220" s="40">
        <v>-3</v>
      </c>
      <c r="BG220" s="37">
        <v>-2.7522935779816518</v>
      </c>
      <c r="BH220" s="38">
        <v>74</v>
      </c>
      <c r="BI220" s="38">
        <v>74</v>
      </c>
      <c r="BJ220" s="38">
        <v>35</v>
      </c>
      <c r="BK220" s="38">
        <v>39</v>
      </c>
      <c r="BL220" s="37">
        <v>100</v>
      </c>
      <c r="BM220" s="37">
        <v>100</v>
      </c>
      <c r="BN220" s="37">
        <v>100</v>
      </c>
      <c r="BO220" s="38">
        <v>76</v>
      </c>
      <c r="BP220" s="38">
        <v>40</v>
      </c>
      <c r="BQ220" s="38">
        <v>36</v>
      </c>
      <c r="BR220" s="37">
        <v>97.368421052631575</v>
      </c>
      <c r="BS220" s="37">
        <v>87.5</v>
      </c>
      <c r="BT220" s="37">
        <v>108.33333333333333</v>
      </c>
      <c r="BU220" s="2"/>
      <c r="BV220" s="2"/>
    </row>
    <row r="221" spans="1:74" ht="15.75" x14ac:dyDescent="0.3">
      <c r="A221" s="2" t="s">
        <v>54</v>
      </c>
      <c r="B221" s="2" t="s">
        <v>55</v>
      </c>
      <c r="C221" s="2" t="s">
        <v>105</v>
      </c>
      <c r="D221" s="2" t="s">
        <v>674</v>
      </c>
      <c r="E221" s="2" t="s">
        <v>674</v>
      </c>
      <c r="F221" s="2" t="s">
        <v>675</v>
      </c>
      <c r="G221" s="2" t="s">
        <v>60</v>
      </c>
      <c r="H221" s="2" t="s">
        <v>61</v>
      </c>
      <c r="I221" s="2" t="s">
        <v>178</v>
      </c>
      <c r="J221" s="2" t="s">
        <v>178</v>
      </c>
      <c r="K221" s="2" t="s">
        <v>159</v>
      </c>
      <c r="L221" s="2" t="s">
        <v>1313</v>
      </c>
      <c r="M221" s="2">
        <v>112</v>
      </c>
      <c r="N221" s="2" t="s">
        <v>1314</v>
      </c>
      <c r="O221" s="2" t="s">
        <v>1315</v>
      </c>
      <c r="P221" s="2" t="s">
        <v>1316</v>
      </c>
      <c r="Q221" s="2" t="s">
        <v>90</v>
      </c>
      <c r="R221" s="2" t="s">
        <v>91</v>
      </c>
      <c r="S221" s="2" t="s">
        <v>1317</v>
      </c>
      <c r="T221" s="2" t="s">
        <v>1318</v>
      </c>
      <c r="U221" s="2" t="s">
        <v>1319</v>
      </c>
      <c r="V221" s="2" t="s">
        <v>1318</v>
      </c>
      <c r="W221" s="2" t="s">
        <v>84</v>
      </c>
      <c r="X221" s="38">
        <v>105</v>
      </c>
      <c r="Y221" s="38">
        <v>49</v>
      </c>
      <c r="Z221" s="38">
        <v>56</v>
      </c>
      <c r="AA221" s="38">
        <v>105</v>
      </c>
      <c r="AB221" s="38">
        <v>49</v>
      </c>
      <c r="AC221" s="38">
        <v>56</v>
      </c>
      <c r="AD221" s="38">
        <v>0</v>
      </c>
      <c r="AE221" s="38">
        <v>0</v>
      </c>
      <c r="AF221" s="38">
        <v>0</v>
      </c>
      <c r="AG221" s="38">
        <v>0</v>
      </c>
      <c r="AH221" s="38">
        <v>0</v>
      </c>
      <c r="AI221" s="38">
        <v>0</v>
      </c>
      <c r="AJ221" s="38">
        <v>0</v>
      </c>
      <c r="AK221" s="37">
        <v>0</v>
      </c>
      <c r="AL221" s="40">
        <f t="shared" si="12"/>
        <v>0</v>
      </c>
      <c r="AM221" s="37">
        <f t="shared" si="13"/>
        <v>0</v>
      </c>
      <c r="AN221" s="40">
        <f t="shared" si="14"/>
        <v>0</v>
      </c>
      <c r="AO221" s="37">
        <f t="shared" si="15"/>
        <v>0</v>
      </c>
      <c r="AP221" s="38">
        <v>185</v>
      </c>
      <c r="AQ221" s="38">
        <v>90</v>
      </c>
      <c r="AR221" s="38">
        <v>95</v>
      </c>
      <c r="AS221" s="38">
        <v>80</v>
      </c>
      <c r="AT221" s="38">
        <v>41</v>
      </c>
      <c r="AU221" s="38">
        <v>39</v>
      </c>
      <c r="AV221" s="38">
        <v>62</v>
      </c>
      <c r="AW221" s="38">
        <v>29</v>
      </c>
      <c r="AX221" s="38">
        <v>33</v>
      </c>
      <c r="AY221" s="38">
        <v>214</v>
      </c>
      <c r="AZ221" s="38">
        <v>104</v>
      </c>
      <c r="BA221" s="38">
        <v>110</v>
      </c>
      <c r="BB221" s="38">
        <v>47</v>
      </c>
      <c r="BC221" s="37">
        <v>21.962616822429908</v>
      </c>
      <c r="BD221" s="40">
        <v>26</v>
      </c>
      <c r="BE221" s="37">
        <v>25</v>
      </c>
      <c r="BF221" s="40">
        <v>21</v>
      </c>
      <c r="BG221" s="37">
        <v>19.090909090909093</v>
      </c>
      <c r="BH221" s="38">
        <v>62</v>
      </c>
      <c r="BI221" s="38">
        <v>62</v>
      </c>
      <c r="BJ221" s="38">
        <v>29</v>
      </c>
      <c r="BK221" s="38">
        <v>33</v>
      </c>
      <c r="BL221" s="37">
        <v>100</v>
      </c>
      <c r="BM221" s="37">
        <v>100</v>
      </c>
      <c r="BN221" s="37">
        <v>100</v>
      </c>
      <c r="BO221" s="38">
        <v>47</v>
      </c>
      <c r="BP221" s="38">
        <v>20</v>
      </c>
      <c r="BQ221" s="38">
        <v>27</v>
      </c>
      <c r="BR221" s="37">
        <v>131.91489361702128</v>
      </c>
      <c r="BS221" s="37">
        <v>145</v>
      </c>
      <c r="BT221" s="37">
        <v>122.22222222222223</v>
      </c>
      <c r="BU221" s="2"/>
      <c r="BV221" s="2"/>
    </row>
    <row r="222" spans="1:74" ht="15.75" x14ac:dyDescent="0.3">
      <c r="A222" s="2" t="s">
        <v>54</v>
      </c>
      <c r="B222" s="2" t="s">
        <v>55</v>
      </c>
      <c r="C222" s="2" t="s">
        <v>105</v>
      </c>
      <c r="D222" s="2" t="s">
        <v>674</v>
      </c>
      <c r="E222" s="2" t="s">
        <v>674</v>
      </c>
      <c r="F222" s="2" t="s">
        <v>675</v>
      </c>
      <c r="G222" s="2" t="s">
        <v>60</v>
      </c>
      <c r="H222" s="2" t="s">
        <v>61</v>
      </c>
      <c r="I222" s="2" t="s">
        <v>62</v>
      </c>
      <c r="J222" s="2" t="s">
        <v>63</v>
      </c>
      <c r="K222" s="2" t="s">
        <v>705</v>
      </c>
      <c r="L222" s="2" t="s">
        <v>1320</v>
      </c>
      <c r="M222" s="2">
        <v>332</v>
      </c>
      <c r="N222" s="2" t="s">
        <v>1314</v>
      </c>
      <c r="O222" s="2" t="s">
        <v>1321</v>
      </c>
      <c r="P222" s="2" t="s">
        <v>80</v>
      </c>
      <c r="Q222" s="2" t="s">
        <v>69</v>
      </c>
      <c r="R222" s="2" t="s">
        <v>70</v>
      </c>
      <c r="S222" s="2" t="s">
        <v>1322</v>
      </c>
      <c r="T222" s="2" t="s">
        <v>1323</v>
      </c>
      <c r="U222" s="2" t="s">
        <v>1324</v>
      </c>
      <c r="V222" s="2" t="s">
        <v>1323</v>
      </c>
      <c r="W222" s="2" t="s">
        <v>84</v>
      </c>
      <c r="X222" s="38">
        <v>441</v>
      </c>
      <c r="Y222" s="38">
        <v>212</v>
      </c>
      <c r="Z222" s="38">
        <v>229</v>
      </c>
      <c r="AA222" s="38">
        <v>441</v>
      </c>
      <c r="AB222" s="38">
        <v>212</v>
      </c>
      <c r="AC222" s="38">
        <v>229</v>
      </c>
      <c r="AD222" s="38">
        <v>0</v>
      </c>
      <c r="AE222" s="38">
        <v>0</v>
      </c>
      <c r="AF222" s="38">
        <v>0</v>
      </c>
      <c r="AG222" s="38">
        <v>0</v>
      </c>
      <c r="AH222" s="38">
        <v>0</v>
      </c>
      <c r="AI222" s="38">
        <v>0</v>
      </c>
      <c r="AJ222" s="38">
        <v>0</v>
      </c>
      <c r="AK222" s="37">
        <v>0</v>
      </c>
      <c r="AL222" s="40">
        <f t="shared" si="12"/>
        <v>0</v>
      </c>
      <c r="AM222" s="37">
        <f t="shared" si="13"/>
        <v>0</v>
      </c>
      <c r="AN222" s="40">
        <f t="shared" si="14"/>
        <v>0</v>
      </c>
      <c r="AO222" s="37">
        <f t="shared" si="15"/>
        <v>0</v>
      </c>
      <c r="AP222" s="38">
        <v>904</v>
      </c>
      <c r="AQ222" s="38">
        <v>447</v>
      </c>
      <c r="AR222" s="38">
        <v>457</v>
      </c>
      <c r="AS222" s="38">
        <v>463</v>
      </c>
      <c r="AT222" s="38">
        <v>235</v>
      </c>
      <c r="AU222" s="38">
        <v>228</v>
      </c>
      <c r="AV222" s="38">
        <v>264</v>
      </c>
      <c r="AW222" s="38">
        <v>114</v>
      </c>
      <c r="AX222" s="38">
        <v>150</v>
      </c>
      <c r="AY222" s="38">
        <v>930</v>
      </c>
      <c r="AZ222" s="38">
        <v>458</v>
      </c>
      <c r="BA222" s="38">
        <v>472</v>
      </c>
      <c r="BB222" s="38">
        <v>225</v>
      </c>
      <c r="BC222" s="37">
        <v>24.193548387096776</v>
      </c>
      <c r="BD222" s="40">
        <v>132</v>
      </c>
      <c r="BE222" s="37">
        <v>28.820960698689959</v>
      </c>
      <c r="BF222" s="40">
        <v>93</v>
      </c>
      <c r="BG222" s="37">
        <v>19.703389830508474</v>
      </c>
      <c r="BH222" s="38">
        <v>264</v>
      </c>
      <c r="BI222" s="38">
        <v>264</v>
      </c>
      <c r="BJ222" s="38">
        <v>114</v>
      </c>
      <c r="BK222" s="38">
        <v>150</v>
      </c>
      <c r="BL222" s="37">
        <v>100</v>
      </c>
      <c r="BM222" s="37">
        <v>100</v>
      </c>
      <c r="BN222" s="37">
        <v>100</v>
      </c>
      <c r="BO222" s="38">
        <v>318</v>
      </c>
      <c r="BP222" s="38">
        <v>149</v>
      </c>
      <c r="BQ222" s="38">
        <v>169</v>
      </c>
      <c r="BR222" s="37">
        <v>83.018867924528308</v>
      </c>
      <c r="BS222" s="37">
        <v>76.510067114093957</v>
      </c>
      <c r="BT222" s="37">
        <v>88.757396449704146</v>
      </c>
      <c r="BU222" s="2"/>
      <c r="BV222" s="2"/>
    </row>
    <row r="223" spans="1:74" ht="15.75" x14ac:dyDescent="0.3">
      <c r="A223" s="2" t="s">
        <v>54</v>
      </c>
      <c r="B223" s="2" t="s">
        <v>55</v>
      </c>
      <c r="C223" s="2" t="s">
        <v>105</v>
      </c>
      <c r="D223" s="2" t="s">
        <v>674</v>
      </c>
      <c r="E223" s="2" t="s">
        <v>674</v>
      </c>
      <c r="F223" s="2" t="s">
        <v>675</v>
      </c>
      <c r="G223" s="2" t="s">
        <v>60</v>
      </c>
      <c r="H223" s="2" t="s">
        <v>61</v>
      </c>
      <c r="I223" s="2" t="s">
        <v>122</v>
      </c>
      <c r="J223" s="2" t="s">
        <v>740</v>
      </c>
      <c r="K223" s="2" t="s">
        <v>76</v>
      </c>
      <c r="L223" s="2" t="s">
        <v>1325</v>
      </c>
      <c r="M223" s="2">
        <v>101</v>
      </c>
      <c r="N223" s="2" t="s">
        <v>1326</v>
      </c>
      <c r="O223" s="2" t="s">
        <v>1327</v>
      </c>
      <c r="P223" s="2" t="s">
        <v>80</v>
      </c>
      <c r="Q223" s="2" t="s">
        <v>69</v>
      </c>
      <c r="R223" s="2" t="s">
        <v>70</v>
      </c>
      <c r="S223" s="2" t="s">
        <v>1328</v>
      </c>
      <c r="T223" s="2" t="s">
        <v>1329</v>
      </c>
      <c r="U223" s="2" t="s">
        <v>1330</v>
      </c>
      <c r="V223" s="2" t="s">
        <v>1329</v>
      </c>
      <c r="W223" s="2" t="s">
        <v>74</v>
      </c>
      <c r="X223" s="38">
        <v>99</v>
      </c>
      <c r="Y223" s="38">
        <v>38</v>
      </c>
      <c r="Z223" s="38">
        <v>61</v>
      </c>
      <c r="AA223" s="38">
        <v>73</v>
      </c>
      <c r="AB223" s="38">
        <v>23</v>
      </c>
      <c r="AC223" s="38">
        <v>50</v>
      </c>
      <c r="AD223" s="38">
        <v>10</v>
      </c>
      <c r="AE223" s="38">
        <v>4</v>
      </c>
      <c r="AF223" s="38">
        <v>6</v>
      </c>
      <c r="AG223" s="38">
        <v>0</v>
      </c>
      <c r="AH223" s="38">
        <v>0</v>
      </c>
      <c r="AI223" s="38">
        <v>0</v>
      </c>
      <c r="AJ223" s="38">
        <v>16</v>
      </c>
      <c r="AK223" s="37">
        <v>16.161616161616163</v>
      </c>
      <c r="AL223" s="40">
        <f t="shared" si="12"/>
        <v>11</v>
      </c>
      <c r="AM223" s="37">
        <f t="shared" si="13"/>
        <v>28.947368421052634</v>
      </c>
      <c r="AN223" s="40">
        <f t="shared" si="14"/>
        <v>5</v>
      </c>
      <c r="AO223" s="37">
        <f t="shared" si="15"/>
        <v>8.1967213114754092</v>
      </c>
      <c r="AP223" s="38">
        <v>136</v>
      </c>
      <c r="AQ223" s="38">
        <v>58</v>
      </c>
      <c r="AR223" s="38">
        <v>78</v>
      </c>
      <c r="AS223" s="38">
        <v>65</v>
      </c>
      <c r="AT223" s="38">
        <v>30</v>
      </c>
      <c r="AU223" s="38">
        <v>35</v>
      </c>
      <c r="AV223" s="38">
        <v>25</v>
      </c>
      <c r="AW223" s="38">
        <v>7</v>
      </c>
      <c r="AX223" s="38">
        <v>18</v>
      </c>
      <c r="AY223" s="38">
        <v>120</v>
      </c>
      <c r="AZ223" s="38">
        <v>56</v>
      </c>
      <c r="BA223" s="38">
        <v>64</v>
      </c>
      <c r="BB223" s="38">
        <v>24</v>
      </c>
      <c r="BC223" s="37">
        <v>20</v>
      </c>
      <c r="BD223" s="40">
        <v>21</v>
      </c>
      <c r="BE223" s="37">
        <v>37.5</v>
      </c>
      <c r="BF223" s="40">
        <v>3</v>
      </c>
      <c r="BG223" s="37">
        <v>4.6875</v>
      </c>
      <c r="BH223" s="38">
        <v>25</v>
      </c>
      <c r="BI223" s="38">
        <v>29</v>
      </c>
      <c r="BJ223" s="38">
        <v>11</v>
      </c>
      <c r="BK223" s="38">
        <v>18</v>
      </c>
      <c r="BL223" s="37">
        <v>86.206896551724128</v>
      </c>
      <c r="BM223" s="37">
        <v>63.636363636363633</v>
      </c>
      <c r="BN223" s="37">
        <v>100</v>
      </c>
      <c r="BO223" s="38">
        <v>35</v>
      </c>
      <c r="BP223" s="38">
        <v>9</v>
      </c>
      <c r="BQ223" s="38">
        <v>26</v>
      </c>
      <c r="BR223" s="37">
        <v>71.428571428571431</v>
      </c>
      <c r="BS223" s="37">
        <v>77.777777777777786</v>
      </c>
      <c r="BT223" s="37">
        <v>69.230769230769226</v>
      </c>
      <c r="BU223" s="2"/>
      <c r="BV223" s="2"/>
    </row>
    <row r="224" spans="1:74" ht="15.75" x14ac:dyDescent="0.3">
      <c r="A224" s="2" t="s">
        <v>54</v>
      </c>
      <c r="B224" s="2" t="s">
        <v>55</v>
      </c>
      <c r="C224" s="2" t="s">
        <v>56</v>
      </c>
      <c r="D224" s="2" t="s">
        <v>57</v>
      </c>
      <c r="E224" s="2" t="s">
        <v>1331</v>
      </c>
      <c r="F224" s="2" t="s">
        <v>1332</v>
      </c>
      <c r="G224" s="2" t="s">
        <v>60</v>
      </c>
      <c r="H224" s="2" t="s">
        <v>61</v>
      </c>
      <c r="I224" s="2" t="s">
        <v>62</v>
      </c>
      <c r="J224" s="2" t="s">
        <v>63</v>
      </c>
      <c r="K224" s="2" t="s">
        <v>1333</v>
      </c>
      <c r="L224" s="2" t="s">
        <v>1334</v>
      </c>
      <c r="M224" s="2">
        <v>0</v>
      </c>
      <c r="N224" s="2" t="s">
        <v>1335</v>
      </c>
      <c r="O224" s="2" t="s">
        <v>1336</v>
      </c>
      <c r="P224" s="2" t="s">
        <v>1337</v>
      </c>
      <c r="Q224" s="2" t="s">
        <v>69</v>
      </c>
      <c r="R224" s="2" t="s">
        <v>70</v>
      </c>
      <c r="S224" s="2" t="s">
        <v>1338</v>
      </c>
      <c r="T224" s="2" t="s">
        <v>1339</v>
      </c>
      <c r="U224" s="2" t="s">
        <v>1340</v>
      </c>
      <c r="V224" s="2" t="s">
        <v>1339</v>
      </c>
      <c r="W224" s="2" t="s">
        <v>74</v>
      </c>
      <c r="X224" s="38">
        <v>1338</v>
      </c>
      <c r="Y224" s="38">
        <v>556</v>
      </c>
      <c r="Z224" s="38">
        <v>782</v>
      </c>
      <c r="AA224" s="38">
        <v>504</v>
      </c>
      <c r="AB224" s="38">
        <v>182</v>
      </c>
      <c r="AC224" s="38">
        <v>322</v>
      </c>
      <c r="AD224" s="38">
        <v>168</v>
      </c>
      <c r="AE224" s="38">
        <v>49</v>
      </c>
      <c r="AF224" s="38">
        <v>119</v>
      </c>
      <c r="AG224" s="38">
        <v>0</v>
      </c>
      <c r="AH224" s="38">
        <v>0</v>
      </c>
      <c r="AI224" s="38">
        <v>0</v>
      </c>
      <c r="AJ224" s="38">
        <v>666</v>
      </c>
      <c r="AK224" s="37">
        <v>49.775784753363226</v>
      </c>
      <c r="AL224" s="40">
        <f t="shared" si="12"/>
        <v>325</v>
      </c>
      <c r="AM224" s="37">
        <f t="shared" si="13"/>
        <v>58.453237410071942</v>
      </c>
      <c r="AN224" s="40">
        <f t="shared" si="14"/>
        <v>341</v>
      </c>
      <c r="AO224" s="37">
        <f t="shared" si="15"/>
        <v>43.606138107416882</v>
      </c>
      <c r="AP224" s="38">
        <v>1381</v>
      </c>
      <c r="AQ224" s="38">
        <v>577</v>
      </c>
      <c r="AR224" s="38">
        <v>804</v>
      </c>
      <c r="AS224" s="38">
        <v>509</v>
      </c>
      <c r="AT224" s="38">
        <v>232</v>
      </c>
      <c r="AU224" s="38">
        <v>277</v>
      </c>
      <c r="AV224" s="38">
        <v>300</v>
      </c>
      <c r="AW224" s="38">
        <v>111</v>
      </c>
      <c r="AX224" s="38">
        <v>189</v>
      </c>
      <c r="AY224" s="38">
        <v>1338</v>
      </c>
      <c r="AZ224" s="38">
        <v>556</v>
      </c>
      <c r="BA224" s="38">
        <v>782</v>
      </c>
      <c r="BB224" s="38">
        <v>166</v>
      </c>
      <c r="BC224" s="37">
        <v>12.406576980568012</v>
      </c>
      <c r="BD224" s="40">
        <v>100</v>
      </c>
      <c r="BE224" s="37">
        <v>17.985611510791365</v>
      </c>
      <c r="BF224" s="40">
        <v>66</v>
      </c>
      <c r="BG224" s="37">
        <v>8.4398976982097178</v>
      </c>
      <c r="BH224" s="38">
        <v>300</v>
      </c>
      <c r="BI224" s="38">
        <v>473</v>
      </c>
      <c r="BJ224" s="38">
        <v>187</v>
      </c>
      <c r="BK224" s="38">
        <v>286</v>
      </c>
      <c r="BL224" s="37">
        <v>63.424947145877375</v>
      </c>
      <c r="BM224" s="37">
        <v>59.358288770053477</v>
      </c>
      <c r="BN224" s="37">
        <v>66.08391608391608</v>
      </c>
      <c r="BO224" s="38">
        <v>564</v>
      </c>
      <c r="BP224" s="38">
        <v>255</v>
      </c>
      <c r="BQ224" s="38">
        <v>309</v>
      </c>
      <c r="BR224" s="37">
        <v>53.191489361702125</v>
      </c>
      <c r="BS224" s="37">
        <v>43.529411764705884</v>
      </c>
      <c r="BT224" s="37">
        <v>61.165048543689316</v>
      </c>
      <c r="BU224" s="2"/>
      <c r="BV224" s="2"/>
    </row>
    <row r="225" spans="1:74" ht="15.75" x14ac:dyDescent="0.3">
      <c r="A225" s="2" t="s">
        <v>54</v>
      </c>
      <c r="B225" s="2" t="s">
        <v>55</v>
      </c>
      <c r="C225" s="2" t="s">
        <v>56</v>
      </c>
      <c r="D225" s="2" t="s">
        <v>57</v>
      </c>
      <c r="E225" s="2" t="s">
        <v>1331</v>
      </c>
      <c r="F225" s="2" t="s">
        <v>1332</v>
      </c>
      <c r="G225" s="2" t="s">
        <v>60</v>
      </c>
      <c r="H225" s="2" t="s">
        <v>61</v>
      </c>
      <c r="I225" s="2" t="s">
        <v>62</v>
      </c>
      <c r="J225" s="2" t="s">
        <v>63</v>
      </c>
      <c r="K225" s="2" t="s">
        <v>1333</v>
      </c>
      <c r="L225" s="2" t="s">
        <v>1334</v>
      </c>
      <c r="M225" s="2">
        <v>0</v>
      </c>
      <c r="N225" s="2" t="s">
        <v>1335</v>
      </c>
      <c r="O225" s="2" t="s">
        <v>1336</v>
      </c>
      <c r="P225" s="2" t="s">
        <v>1337</v>
      </c>
      <c r="Q225" s="2" t="s">
        <v>69</v>
      </c>
      <c r="R225" s="2" t="s">
        <v>70</v>
      </c>
      <c r="S225" s="2" t="s">
        <v>1338</v>
      </c>
      <c r="T225" s="2" t="s">
        <v>1339</v>
      </c>
      <c r="U225" s="2" t="s">
        <v>1340</v>
      </c>
      <c r="V225" s="2" t="s">
        <v>1339</v>
      </c>
      <c r="W225" s="2" t="s">
        <v>113</v>
      </c>
      <c r="X225" s="38">
        <v>1199</v>
      </c>
      <c r="Y225" s="38">
        <v>501</v>
      </c>
      <c r="Z225" s="38">
        <v>698</v>
      </c>
      <c r="AA225" s="38">
        <v>444</v>
      </c>
      <c r="AB225" s="38">
        <v>172</v>
      </c>
      <c r="AC225" s="38">
        <v>272</v>
      </c>
      <c r="AD225" s="38">
        <v>118</v>
      </c>
      <c r="AE225" s="38">
        <v>35</v>
      </c>
      <c r="AF225" s="38">
        <v>83</v>
      </c>
      <c r="AG225" s="38">
        <v>0</v>
      </c>
      <c r="AH225" s="38">
        <v>0</v>
      </c>
      <c r="AI225" s="38">
        <v>0</v>
      </c>
      <c r="AJ225" s="38">
        <v>637</v>
      </c>
      <c r="AK225" s="37">
        <v>53.127606338615522</v>
      </c>
      <c r="AL225" s="40">
        <f t="shared" si="12"/>
        <v>294</v>
      </c>
      <c r="AM225" s="37">
        <f t="shared" si="13"/>
        <v>58.682634730538922</v>
      </c>
      <c r="AN225" s="40">
        <f t="shared" si="14"/>
        <v>343</v>
      </c>
      <c r="AO225" s="37">
        <f t="shared" si="15"/>
        <v>49.140401146131808</v>
      </c>
      <c r="AP225" s="38">
        <v>1198</v>
      </c>
      <c r="AQ225" s="38">
        <v>524</v>
      </c>
      <c r="AR225" s="38">
        <v>674</v>
      </c>
      <c r="AS225" s="38">
        <v>470</v>
      </c>
      <c r="AT225" s="38">
        <v>224</v>
      </c>
      <c r="AU225" s="38">
        <v>246</v>
      </c>
      <c r="AV225" s="38">
        <v>222</v>
      </c>
      <c r="AW225" s="38">
        <v>91</v>
      </c>
      <c r="AX225" s="38">
        <v>131</v>
      </c>
      <c r="AY225" s="38">
        <v>1199</v>
      </c>
      <c r="AZ225" s="38">
        <v>501</v>
      </c>
      <c r="BA225" s="38">
        <v>698</v>
      </c>
      <c r="BB225" s="38">
        <v>249</v>
      </c>
      <c r="BC225" s="37">
        <v>20.767306088407008</v>
      </c>
      <c r="BD225" s="40">
        <v>110</v>
      </c>
      <c r="BE225" s="37">
        <v>21.956087824351297</v>
      </c>
      <c r="BF225" s="40">
        <v>139</v>
      </c>
      <c r="BG225" s="37">
        <v>19.914040114613179</v>
      </c>
      <c r="BH225" s="38">
        <v>222</v>
      </c>
      <c r="BI225" s="38">
        <v>376</v>
      </c>
      <c r="BJ225" s="38">
        <v>152</v>
      </c>
      <c r="BK225" s="38">
        <v>224</v>
      </c>
      <c r="BL225" s="37">
        <v>59.042553191489368</v>
      </c>
      <c r="BM225" s="37">
        <v>59.868421052631582</v>
      </c>
      <c r="BN225" s="37">
        <v>58.482142857142861</v>
      </c>
      <c r="BO225" s="38">
        <v>532</v>
      </c>
      <c r="BP225" s="38">
        <v>233</v>
      </c>
      <c r="BQ225" s="38">
        <v>299</v>
      </c>
      <c r="BR225" s="37">
        <v>41.729323308270679</v>
      </c>
      <c r="BS225" s="37">
        <v>39.055793991416309</v>
      </c>
      <c r="BT225" s="37">
        <v>43.812709030100336</v>
      </c>
      <c r="BU225" s="2"/>
      <c r="BV225" s="2"/>
    </row>
    <row r="226" spans="1:74" ht="15.75" x14ac:dyDescent="0.3">
      <c r="A226" s="2" t="s">
        <v>54</v>
      </c>
      <c r="B226" s="2" t="s">
        <v>55</v>
      </c>
      <c r="C226" s="2" t="s">
        <v>56</v>
      </c>
      <c r="D226" s="2" t="s">
        <v>57</v>
      </c>
      <c r="E226" s="2" t="s">
        <v>1331</v>
      </c>
      <c r="F226" s="2" t="s">
        <v>1332</v>
      </c>
      <c r="G226" s="2" t="s">
        <v>60</v>
      </c>
      <c r="H226" s="2" t="s">
        <v>61</v>
      </c>
      <c r="I226" s="2" t="s">
        <v>62</v>
      </c>
      <c r="J226" s="2" t="s">
        <v>63</v>
      </c>
      <c r="K226" s="2" t="s">
        <v>1341</v>
      </c>
      <c r="L226" s="2" t="s">
        <v>1342</v>
      </c>
      <c r="M226" s="2">
        <v>183</v>
      </c>
      <c r="N226" s="2" t="s">
        <v>1335</v>
      </c>
      <c r="O226" s="2" t="s">
        <v>1336</v>
      </c>
      <c r="P226" s="2" t="s">
        <v>1337</v>
      </c>
      <c r="Q226" s="2" t="s">
        <v>69</v>
      </c>
      <c r="R226" s="2" t="s">
        <v>70</v>
      </c>
      <c r="S226" s="2" t="s">
        <v>1343</v>
      </c>
      <c r="T226" s="2" t="s">
        <v>1344</v>
      </c>
      <c r="U226" s="2" t="s">
        <v>1345</v>
      </c>
      <c r="V226" s="2" t="s">
        <v>1344</v>
      </c>
      <c r="W226" s="2" t="s">
        <v>74</v>
      </c>
      <c r="X226" s="38">
        <v>1147</v>
      </c>
      <c r="Y226" s="38">
        <v>496</v>
      </c>
      <c r="Z226" s="38">
        <v>651</v>
      </c>
      <c r="AA226" s="38">
        <v>701</v>
      </c>
      <c r="AB226" s="38">
        <v>265</v>
      </c>
      <c r="AC226" s="38">
        <v>436</v>
      </c>
      <c r="AD226" s="38">
        <v>73</v>
      </c>
      <c r="AE226" s="38">
        <v>32</v>
      </c>
      <c r="AF226" s="38">
        <v>41</v>
      </c>
      <c r="AG226" s="38">
        <v>0</v>
      </c>
      <c r="AH226" s="38">
        <v>0</v>
      </c>
      <c r="AI226" s="38">
        <v>0</v>
      </c>
      <c r="AJ226" s="38">
        <v>373</v>
      </c>
      <c r="AK226" s="37">
        <v>32.519616390584133</v>
      </c>
      <c r="AL226" s="40">
        <f t="shared" si="12"/>
        <v>199</v>
      </c>
      <c r="AM226" s="37">
        <f t="shared" si="13"/>
        <v>40.12096774193548</v>
      </c>
      <c r="AN226" s="40">
        <f t="shared" si="14"/>
        <v>174</v>
      </c>
      <c r="AO226" s="37">
        <f t="shared" si="15"/>
        <v>26.728110599078342</v>
      </c>
      <c r="AP226" s="38">
        <v>1130</v>
      </c>
      <c r="AQ226" s="38">
        <v>489</v>
      </c>
      <c r="AR226" s="38">
        <v>641</v>
      </c>
      <c r="AS226" s="38">
        <v>390</v>
      </c>
      <c r="AT226" s="38">
        <v>177</v>
      </c>
      <c r="AU226" s="38">
        <v>213</v>
      </c>
      <c r="AV226" s="38">
        <v>322</v>
      </c>
      <c r="AW226" s="38">
        <v>125</v>
      </c>
      <c r="AX226" s="38">
        <v>197</v>
      </c>
      <c r="AY226" s="38">
        <v>1147</v>
      </c>
      <c r="AZ226" s="38">
        <v>496</v>
      </c>
      <c r="BA226" s="38">
        <v>651</v>
      </c>
      <c r="BB226" s="38">
        <v>85</v>
      </c>
      <c r="BC226" s="37">
        <v>7.4106364428945071</v>
      </c>
      <c r="BD226" s="40">
        <v>59</v>
      </c>
      <c r="BE226" s="37">
        <v>11.895161290322582</v>
      </c>
      <c r="BF226" s="40">
        <v>26</v>
      </c>
      <c r="BG226" s="37">
        <v>3.9938556067588324</v>
      </c>
      <c r="BH226" s="38">
        <v>322</v>
      </c>
      <c r="BI226" s="38">
        <v>393</v>
      </c>
      <c r="BJ226" s="38">
        <v>166</v>
      </c>
      <c r="BK226" s="38">
        <v>227</v>
      </c>
      <c r="BL226" s="37">
        <v>81.933842239185751</v>
      </c>
      <c r="BM226" s="37">
        <v>75.301204819277118</v>
      </c>
      <c r="BN226" s="37">
        <v>86.784140969162991</v>
      </c>
      <c r="BO226" s="38">
        <v>424</v>
      </c>
      <c r="BP226" s="38">
        <v>191</v>
      </c>
      <c r="BQ226" s="38">
        <v>233</v>
      </c>
      <c r="BR226" s="37">
        <v>75.943396226415089</v>
      </c>
      <c r="BS226" s="37">
        <v>65.445026178010465</v>
      </c>
      <c r="BT226" s="37">
        <v>84.549356223175963</v>
      </c>
      <c r="BU226" s="2"/>
      <c r="BV226" s="2"/>
    </row>
    <row r="227" spans="1:74" ht="15.75" x14ac:dyDescent="0.3">
      <c r="A227" s="2" t="s">
        <v>54</v>
      </c>
      <c r="B227" s="2" t="s">
        <v>55</v>
      </c>
      <c r="C227" s="2" t="s">
        <v>56</v>
      </c>
      <c r="D227" s="2" t="s">
        <v>57</v>
      </c>
      <c r="E227" s="2" t="s">
        <v>1331</v>
      </c>
      <c r="F227" s="2" t="s">
        <v>1332</v>
      </c>
      <c r="G227" s="2" t="s">
        <v>60</v>
      </c>
      <c r="H227" s="2" t="s">
        <v>61</v>
      </c>
      <c r="I227" s="2" t="s">
        <v>62</v>
      </c>
      <c r="J227" s="2" t="s">
        <v>63</v>
      </c>
      <c r="K227" s="2" t="s">
        <v>1341</v>
      </c>
      <c r="L227" s="2" t="s">
        <v>1342</v>
      </c>
      <c r="M227" s="2">
        <v>183</v>
      </c>
      <c r="N227" s="2" t="s">
        <v>1335</v>
      </c>
      <c r="O227" s="2" t="s">
        <v>1346</v>
      </c>
      <c r="P227" s="2" t="s">
        <v>1337</v>
      </c>
      <c r="Q227" s="2" t="s">
        <v>69</v>
      </c>
      <c r="R227" s="2" t="s">
        <v>70</v>
      </c>
      <c r="S227" s="2" t="s">
        <v>1343</v>
      </c>
      <c r="T227" s="2" t="s">
        <v>1344</v>
      </c>
      <c r="U227" s="2" t="s">
        <v>1345</v>
      </c>
      <c r="V227" s="2" t="s">
        <v>1344</v>
      </c>
      <c r="W227" s="2" t="s">
        <v>113</v>
      </c>
      <c r="X227" s="38">
        <v>982</v>
      </c>
      <c r="Y227" s="38">
        <v>430</v>
      </c>
      <c r="Z227" s="38">
        <v>552</v>
      </c>
      <c r="AA227" s="38">
        <v>574</v>
      </c>
      <c r="AB227" s="38">
        <v>213</v>
      </c>
      <c r="AC227" s="38">
        <v>361</v>
      </c>
      <c r="AD227" s="38">
        <v>84</v>
      </c>
      <c r="AE227" s="38">
        <v>30</v>
      </c>
      <c r="AF227" s="38">
        <v>54</v>
      </c>
      <c r="AG227" s="38">
        <v>0</v>
      </c>
      <c r="AH227" s="38">
        <v>0</v>
      </c>
      <c r="AI227" s="38">
        <v>0</v>
      </c>
      <c r="AJ227" s="38">
        <v>324</v>
      </c>
      <c r="AK227" s="37">
        <v>32.993890020366599</v>
      </c>
      <c r="AL227" s="40">
        <f t="shared" si="12"/>
        <v>187</v>
      </c>
      <c r="AM227" s="37">
        <f t="shared" si="13"/>
        <v>43.488372093023251</v>
      </c>
      <c r="AN227" s="40">
        <f t="shared" si="14"/>
        <v>137</v>
      </c>
      <c r="AO227" s="37">
        <f t="shared" si="15"/>
        <v>24.818840579710145</v>
      </c>
      <c r="AP227" s="38">
        <v>928</v>
      </c>
      <c r="AQ227" s="38">
        <v>426</v>
      </c>
      <c r="AR227" s="38">
        <v>502</v>
      </c>
      <c r="AS227" s="38">
        <v>361</v>
      </c>
      <c r="AT227" s="38">
        <v>179</v>
      </c>
      <c r="AU227" s="38">
        <v>182</v>
      </c>
      <c r="AV227" s="38">
        <v>249</v>
      </c>
      <c r="AW227" s="38">
        <v>103</v>
      </c>
      <c r="AX227" s="38">
        <v>146</v>
      </c>
      <c r="AY227" s="38">
        <v>982</v>
      </c>
      <c r="AZ227" s="38">
        <v>430</v>
      </c>
      <c r="BA227" s="38">
        <v>552</v>
      </c>
      <c r="BB227" s="38">
        <v>166</v>
      </c>
      <c r="BC227" s="37">
        <v>16.90427698574338</v>
      </c>
      <c r="BD227" s="40">
        <v>80</v>
      </c>
      <c r="BE227" s="37">
        <v>18.604651162790699</v>
      </c>
      <c r="BF227" s="40">
        <v>86</v>
      </c>
      <c r="BG227" s="37">
        <v>15.579710144927535</v>
      </c>
      <c r="BH227" s="38">
        <v>249</v>
      </c>
      <c r="BI227" s="38">
        <v>305</v>
      </c>
      <c r="BJ227" s="38">
        <v>134</v>
      </c>
      <c r="BK227" s="38">
        <v>171</v>
      </c>
      <c r="BL227" s="37">
        <v>81.639344262295083</v>
      </c>
      <c r="BM227" s="37">
        <v>76.865671641791039</v>
      </c>
      <c r="BN227" s="37">
        <v>85.380116959064324</v>
      </c>
      <c r="BO227" s="38">
        <v>416</v>
      </c>
      <c r="BP227" s="38">
        <v>197</v>
      </c>
      <c r="BQ227" s="38">
        <v>219</v>
      </c>
      <c r="BR227" s="37">
        <v>59.855769230769226</v>
      </c>
      <c r="BS227" s="37">
        <v>52.284263959390863</v>
      </c>
      <c r="BT227" s="37">
        <v>66.666666666666657</v>
      </c>
      <c r="BU227" s="2"/>
      <c r="BV227" s="2"/>
    </row>
    <row r="228" spans="1:74" ht="15.75" x14ac:dyDescent="0.3">
      <c r="A228" s="2" t="s">
        <v>54</v>
      </c>
      <c r="B228" s="2" t="s">
        <v>55</v>
      </c>
      <c r="C228" s="2" t="s">
        <v>56</v>
      </c>
      <c r="D228" s="2" t="s">
        <v>57</v>
      </c>
      <c r="E228" s="2" t="s">
        <v>1331</v>
      </c>
      <c r="F228" s="2" t="s">
        <v>1332</v>
      </c>
      <c r="G228" s="2" t="s">
        <v>60</v>
      </c>
      <c r="H228" s="2" t="s">
        <v>61</v>
      </c>
      <c r="I228" s="2" t="s">
        <v>178</v>
      </c>
      <c r="J228" s="2" t="s">
        <v>178</v>
      </c>
      <c r="K228" s="2" t="s">
        <v>159</v>
      </c>
      <c r="L228" s="2" t="s">
        <v>1347</v>
      </c>
      <c r="M228" s="2">
        <v>4</v>
      </c>
      <c r="N228" s="2" t="s">
        <v>1335</v>
      </c>
      <c r="O228" s="2" t="s">
        <v>1348</v>
      </c>
      <c r="P228" s="2" t="s">
        <v>80</v>
      </c>
      <c r="Q228" s="2" t="s">
        <v>90</v>
      </c>
      <c r="R228" s="2" t="s">
        <v>91</v>
      </c>
      <c r="S228" s="2" t="s">
        <v>1349</v>
      </c>
      <c r="T228" s="2" t="s">
        <v>1350</v>
      </c>
      <c r="U228" s="2" t="s">
        <v>1351</v>
      </c>
      <c r="V228" s="2" t="s">
        <v>1350</v>
      </c>
      <c r="W228" s="2" t="s">
        <v>74</v>
      </c>
      <c r="X228" s="38">
        <v>420</v>
      </c>
      <c r="Y228" s="38">
        <v>186</v>
      </c>
      <c r="Z228" s="38">
        <v>234</v>
      </c>
      <c r="AA228" s="38">
        <v>295</v>
      </c>
      <c r="AB228" s="38">
        <v>114</v>
      </c>
      <c r="AC228" s="38">
        <v>181</v>
      </c>
      <c r="AD228" s="38">
        <v>51</v>
      </c>
      <c r="AE228" s="38">
        <v>24</v>
      </c>
      <c r="AF228" s="38">
        <v>27</v>
      </c>
      <c r="AG228" s="38">
        <v>0</v>
      </c>
      <c r="AH228" s="38">
        <v>0</v>
      </c>
      <c r="AI228" s="38">
        <v>0</v>
      </c>
      <c r="AJ228" s="38">
        <v>74</v>
      </c>
      <c r="AK228" s="37">
        <v>17.61904761904762</v>
      </c>
      <c r="AL228" s="40">
        <f t="shared" si="12"/>
        <v>48</v>
      </c>
      <c r="AM228" s="37">
        <f t="shared" si="13"/>
        <v>25.806451612903224</v>
      </c>
      <c r="AN228" s="40">
        <f t="shared" si="14"/>
        <v>26</v>
      </c>
      <c r="AO228" s="37">
        <f t="shared" si="15"/>
        <v>11.111111111111111</v>
      </c>
      <c r="AP228" s="38">
        <v>528</v>
      </c>
      <c r="AQ228" s="38">
        <v>201</v>
      </c>
      <c r="AR228" s="38">
        <v>327</v>
      </c>
      <c r="AS228" s="38">
        <v>188</v>
      </c>
      <c r="AT228" s="38">
        <v>71</v>
      </c>
      <c r="AU228" s="38">
        <v>117</v>
      </c>
      <c r="AV228" s="38">
        <v>131</v>
      </c>
      <c r="AW228" s="38">
        <v>60</v>
      </c>
      <c r="AX228" s="38">
        <v>71</v>
      </c>
      <c r="AY228" s="38">
        <v>495</v>
      </c>
      <c r="AZ228" s="38">
        <v>206</v>
      </c>
      <c r="BA228" s="38">
        <v>289</v>
      </c>
      <c r="BB228" s="38">
        <v>24</v>
      </c>
      <c r="BC228" s="37">
        <v>4.8484848484848486</v>
      </c>
      <c r="BD228" s="40">
        <v>16</v>
      </c>
      <c r="BE228" s="37">
        <v>7.7669902912621351</v>
      </c>
      <c r="BF228" s="40">
        <v>8</v>
      </c>
      <c r="BG228" s="37">
        <v>2.7681660899653981</v>
      </c>
      <c r="BH228" s="38">
        <v>131</v>
      </c>
      <c r="BI228" s="38">
        <v>140</v>
      </c>
      <c r="BJ228" s="38">
        <v>60</v>
      </c>
      <c r="BK228" s="38">
        <v>80</v>
      </c>
      <c r="BL228" s="37">
        <v>93.571428571428569</v>
      </c>
      <c r="BM228" s="37">
        <v>100</v>
      </c>
      <c r="BN228" s="37">
        <v>88.75</v>
      </c>
      <c r="BO228" s="38">
        <v>150</v>
      </c>
      <c r="BP228" s="38">
        <v>74</v>
      </c>
      <c r="BQ228" s="38">
        <v>76</v>
      </c>
      <c r="BR228" s="37">
        <v>87.333333333333329</v>
      </c>
      <c r="BS228" s="37">
        <v>81.081081081081081</v>
      </c>
      <c r="BT228" s="37">
        <v>93.421052631578945</v>
      </c>
      <c r="BU228" s="2"/>
      <c r="BV228" s="2"/>
    </row>
    <row r="229" spans="1:74" ht="15.75" x14ac:dyDescent="0.3">
      <c r="A229" s="2" t="s">
        <v>54</v>
      </c>
      <c r="B229" s="2" t="s">
        <v>55</v>
      </c>
      <c r="C229" s="2" t="s">
        <v>56</v>
      </c>
      <c r="D229" s="2" t="s">
        <v>57</v>
      </c>
      <c r="E229" s="2" t="s">
        <v>1331</v>
      </c>
      <c r="F229" s="2" t="s">
        <v>1332</v>
      </c>
      <c r="G229" s="2" t="s">
        <v>60</v>
      </c>
      <c r="H229" s="2" t="s">
        <v>61</v>
      </c>
      <c r="I229" s="2" t="s">
        <v>178</v>
      </c>
      <c r="J229" s="2" t="s">
        <v>178</v>
      </c>
      <c r="K229" s="2" t="s">
        <v>159</v>
      </c>
      <c r="L229" s="2" t="s">
        <v>1347</v>
      </c>
      <c r="M229" s="2">
        <v>4</v>
      </c>
      <c r="N229" s="2" t="s">
        <v>1335</v>
      </c>
      <c r="O229" s="2" t="s">
        <v>1348</v>
      </c>
      <c r="P229" s="2" t="s">
        <v>80</v>
      </c>
      <c r="Q229" s="2" t="s">
        <v>90</v>
      </c>
      <c r="R229" s="2" t="s">
        <v>91</v>
      </c>
      <c r="S229" s="2" t="s">
        <v>1349</v>
      </c>
      <c r="T229" s="2" t="s">
        <v>1350</v>
      </c>
      <c r="U229" s="2" t="s">
        <v>1351</v>
      </c>
      <c r="V229" s="2" t="s">
        <v>1350</v>
      </c>
      <c r="W229" s="2" t="s">
        <v>113</v>
      </c>
      <c r="X229" s="38">
        <v>564</v>
      </c>
      <c r="Y229" s="38">
        <v>237</v>
      </c>
      <c r="Z229" s="38">
        <v>327</v>
      </c>
      <c r="AA229" s="38">
        <v>408</v>
      </c>
      <c r="AB229" s="38">
        <v>152</v>
      </c>
      <c r="AC229" s="38">
        <v>256</v>
      </c>
      <c r="AD229" s="38">
        <v>66</v>
      </c>
      <c r="AE229" s="38">
        <v>37</v>
      </c>
      <c r="AF229" s="38">
        <v>29</v>
      </c>
      <c r="AG229" s="38">
        <v>0</v>
      </c>
      <c r="AH229" s="38">
        <v>0</v>
      </c>
      <c r="AI229" s="38">
        <v>0</v>
      </c>
      <c r="AJ229" s="38">
        <v>90</v>
      </c>
      <c r="AK229" s="37">
        <v>15.957446808510639</v>
      </c>
      <c r="AL229" s="40">
        <f t="shared" si="12"/>
        <v>48</v>
      </c>
      <c r="AM229" s="37">
        <f t="shared" si="13"/>
        <v>20.253164556962027</v>
      </c>
      <c r="AN229" s="40">
        <f t="shared" si="14"/>
        <v>42</v>
      </c>
      <c r="AO229" s="37">
        <f t="shared" si="15"/>
        <v>12.844036697247708</v>
      </c>
      <c r="AP229" s="38">
        <v>501</v>
      </c>
      <c r="AQ229" s="38">
        <v>230</v>
      </c>
      <c r="AR229" s="38">
        <v>271</v>
      </c>
      <c r="AS229" s="38">
        <v>186</v>
      </c>
      <c r="AT229" s="38">
        <v>89</v>
      </c>
      <c r="AU229" s="38">
        <v>97</v>
      </c>
      <c r="AV229" s="38">
        <v>131</v>
      </c>
      <c r="AW229" s="38">
        <v>60</v>
      </c>
      <c r="AX229" s="38">
        <v>71</v>
      </c>
      <c r="AY229" s="38">
        <v>489</v>
      </c>
      <c r="AZ229" s="38">
        <v>217</v>
      </c>
      <c r="BA229" s="38">
        <v>272</v>
      </c>
      <c r="BB229" s="38">
        <v>43</v>
      </c>
      <c r="BC229" s="37">
        <v>8.7934560327198366</v>
      </c>
      <c r="BD229" s="40">
        <v>16</v>
      </c>
      <c r="BE229" s="37">
        <v>7.3732718894009217</v>
      </c>
      <c r="BF229" s="40">
        <v>27</v>
      </c>
      <c r="BG229" s="37">
        <v>9.9264705882352935</v>
      </c>
      <c r="BH229" s="38">
        <v>131</v>
      </c>
      <c r="BI229" s="38">
        <v>137</v>
      </c>
      <c r="BJ229" s="38">
        <v>59</v>
      </c>
      <c r="BK229" s="38">
        <v>78</v>
      </c>
      <c r="BL229" s="37">
        <v>95.620437956204384</v>
      </c>
      <c r="BM229" s="37">
        <v>101.69491525423729</v>
      </c>
      <c r="BN229" s="37">
        <v>91.025641025641022</v>
      </c>
      <c r="BO229" s="38">
        <v>142</v>
      </c>
      <c r="BP229" s="38">
        <v>67</v>
      </c>
      <c r="BQ229" s="38">
        <v>75</v>
      </c>
      <c r="BR229" s="37">
        <v>92.25352112676056</v>
      </c>
      <c r="BS229" s="37">
        <v>89.552238805970148</v>
      </c>
      <c r="BT229" s="37">
        <v>94.666666666666671</v>
      </c>
      <c r="BU229" s="2"/>
      <c r="BV229" s="2"/>
    </row>
    <row r="230" spans="1:74" ht="15.75" x14ac:dyDescent="0.3">
      <c r="A230" s="2" t="s">
        <v>54</v>
      </c>
      <c r="B230" s="2" t="s">
        <v>55</v>
      </c>
      <c r="C230" s="2" t="s">
        <v>56</v>
      </c>
      <c r="D230" s="2" t="s">
        <v>57</v>
      </c>
      <c r="E230" s="2" t="s">
        <v>1331</v>
      </c>
      <c r="F230" s="2" t="s">
        <v>1332</v>
      </c>
      <c r="G230" s="2" t="s">
        <v>60</v>
      </c>
      <c r="H230" s="2" t="s">
        <v>61</v>
      </c>
      <c r="I230" s="2" t="s">
        <v>378</v>
      </c>
      <c r="J230" s="2" t="s">
        <v>1352</v>
      </c>
      <c r="K230" s="2" t="s">
        <v>1353</v>
      </c>
      <c r="L230" s="2" t="s">
        <v>1354</v>
      </c>
      <c r="M230" s="2">
        <v>0</v>
      </c>
      <c r="N230" s="2" t="s">
        <v>1335</v>
      </c>
      <c r="O230" s="2" t="s">
        <v>1336</v>
      </c>
      <c r="P230" s="2" t="s">
        <v>80</v>
      </c>
      <c r="Q230" s="2" t="s">
        <v>144</v>
      </c>
      <c r="R230" s="2" t="s">
        <v>145</v>
      </c>
      <c r="S230" s="2" t="s">
        <v>1355</v>
      </c>
      <c r="T230" s="2" t="s">
        <v>1356</v>
      </c>
      <c r="U230" s="2" t="s">
        <v>1357</v>
      </c>
      <c r="V230" s="2" t="s">
        <v>1356</v>
      </c>
      <c r="W230" s="2" t="s">
        <v>74</v>
      </c>
      <c r="X230" s="38">
        <v>249</v>
      </c>
      <c r="Y230" s="38">
        <v>98</v>
      </c>
      <c r="Z230" s="38">
        <v>151</v>
      </c>
      <c r="AA230" s="38">
        <v>139</v>
      </c>
      <c r="AB230" s="38">
        <v>53</v>
      </c>
      <c r="AC230" s="38">
        <v>86</v>
      </c>
      <c r="AD230" s="38">
        <v>34</v>
      </c>
      <c r="AE230" s="38">
        <v>14</v>
      </c>
      <c r="AF230" s="38">
        <v>20</v>
      </c>
      <c r="AG230" s="38">
        <v>0</v>
      </c>
      <c r="AH230" s="38">
        <v>0</v>
      </c>
      <c r="AI230" s="38">
        <v>0</v>
      </c>
      <c r="AJ230" s="38">
        <v>76</v>
      </c>
      <c r="AK230" s="37">
        <v>30.522088353413658</v>
      </c>
      <c r="AL230" s="40">
        <f t="shared" si="12"/>
        <v>31</v>
      </c>
      <c r="AM230" s="37">
        <f t="shared" si="13"/>
        <v>31.632653061224492</v>
      </c>
      <c r="AN230" s="40">
        <f t="shared" si="14"/>
        <v>45</v>
      </c>
      <c r="AO230" s="37">
        <f t="shared" si="15"/>
        <v>29.80132450331126</v>
      </c>
      <c r="AP230" s="38">
        <v>241</v>
      </c>
      <c r="AQ230" s="38">
        <v>85</v>
      </c>
      <c r="AR230" s="38">
        <v>156</v>
      </c>
      <c r="AS230" s="38">
        <v>98</v>
      </c>
      <c r="AT230" s="38">
        <v>34</v>
      </c>
      <c r="AU230" s="38">
        <v>64</v>
      </c>
      <c r="AV230" s="38">
        <v>72</v>
      </c>
      <c r="AW230" s="38">
        <v>29</v>
      </c>
      <c r="AX230" s="38">
        <v>43</v>
      </c>
      <c r="AY230" s="38">
        <v>249</v>
      </c>
      <c r="AZ230" s="38">
        <v>98</v>
      </c>
      <c r="BA230" s="38">
        <v>151</v>
      </c>
      <c r="BB230" s="38">
        <v>34</v>
      </c>
      <c r="BC230" s="37">
        <v>13.654618473895583</v>
      </c>
      <c r="BD230" s="40">
        <v>18</v>
      </c>
      <c r="BE230" s="37">
        <v>18.367346938775512</v>
      </c>
      <c r="BF230" s="40">
        <v>16</v>
      </c>
      <c r="BG230" s="37">
        <v>10.596026490066226</v>
      </c>
      <c r="BH230" s="38">
        <v>72</v>
      </c>
      <c r="BI230" s="38">
        <v>82</v>
      </c>
      <c r="BJ230" s="38">
        <v>37</v>
      </c>
      <c r="BK230" s="38">
        <v>45</v>
      </c>
      <c r="BL230" s="37">
        <v>87.804878048780495</v>
      </c>
      <c r="BM230" s="37">
        <v>78.378378378378372</v>
      </c>
      <c r="BN230" s="37">
        <v>95.555555555555557</v>
      </c>
      <c r="BO230" s="38">
        <v>110</v>
      </c>
      <c r="BP230" s="38">
        <v>49</v>
      </c>
      <c r="BQ230" s="38">
        <v>61</v>
      </c>
      <c r="BR230" s="37">
        <v>65.454545454545453</v>
      </c>
      <c r="BS230" s="37">
        <v>59.183673469387756</v>
      </c>
      <c r="BT230" s="37">
        <v>70.491803278688522</v>
      </c>
      <c r="BU230" s="2"/>
      <c r="BV230" s="2"/>
    </row>
    <row r="231" spans="1:74" ht="15.75" x14ac:dyDescent="0.3">
      <c r="A231" s="2" t="s">
        <v>54</v>
      </c>
      <c r="B231" s="2" t="s">
        <v>55</v>
      </c>
      <c r="C231" s="2" t="s">
        <v>56</v>
      </c>
      <c r="D231" s="2" t="s">
        <v>57</v>
      </c>
      <c r="E231" s="2" t="s">
        <v>1331</v>
      </c>
      <c r="F231" s="2" t="s">
        <v>1332</v>
      </c>
      <c r="G231" s="2" t="s">
        <v>60</v>
      </c>
      <c r="H231" s="2" t="s">
        <v>61</v>
      </c>
      <c r="I231" s="2" t="s">
        <v>500</v>
      </c>
      <c r="J231" s="2" t="s">
        <v>1358</v>
      </c>
      <c r="K231" s="2" t="s">
        <v>159</v>
      </c>
      <c r="L231" s="2" t="s">
        <v>1359</v>
      </c>
      <c r="M231" s="2">
        <v>180</v>
      </c>
      <c r="N231" s="2" t="s">
        <v>1335</v>
      </c>
      <c r="O231" s="2" t="s">
        <v>1336</v>
      </c>
      <c r="P231" s="2" t="s">
        <v>80</v>
      </c>
      <c r="Q231" s="2" t="s">
        <v>90</v>
      </c>
      <c r="R231" s="2" t="s">
        <v>91</v>
      </c>
      <c r="S231" s="2" t="s">
        <v>1360</v>
      </c>
      <c r="T231" s="2" t="s">
        <v>1361</v>
      </c>
      <c r="U231" s="2" t="s">
        <v>1362</v>
      </c>
      <c r="V231" s="2" t="s">
        <v>1361</v>
      </c>
      <c r="W231" s="2" t="s">
        <v>74</v>
      </c>
      <c r="X231" s="38">
        <v>283</v>
      </c>
      <c r="Y231" s="38">
        <v>99</v>
      </c>
      <c r="Z231" s="38">
        <v>184</v>
      </c>
      <c r="AA231" s="38">
        <v>149</v>
      </c>
      <c r="AB231" s="38">
        <v>40</v>
      </c>
      <c r="AC231" s="38">
        <v>109</v>
      </c>
      <c r="AD231" s="38">
        <v>32</v>
      </c>
      <c r="AE231" s="38">
        <v>8</v>
      </c>
      <c r="AF231" s="38">
        <v>24</v>
      </c>
      <c r="AG231" s="38">
        <v>0</v>
      </c>
      <c r="AH231" s="38">
        <v>0</v>
      </c>
      <c r="AI231" s="38">
        <v>0</v>
      </c>
      <c r="AJ231" s="38">
        <v>102</v>
      </c>
      <c r="AK231" s="37">
        <v>36.042402826855124</v>
      </c>
      <c r="AL231" s="40">
        <f t="shared" si="12"/>
        <v>51</v>
      </c>
      <c r="AM231" s="37">
        <f t="shared" si="13"/>
        <v>51.515151515151516</v>
      </c>
      <c r="AN231" s="40">
        <f t="shared" si="14"/>
        <v>51</v>
      </c>
      <c r="AO231" s="37">
        <f t="shared" si="15"/>
        <v>27.717391304347828</v>
      </c>
      <c r="AP231" s="38">
        <v>263</v>
      </c>
      <c r="AQ231" s="38">
        <v>84</v>
      </c>
      <c r="AR231" s="38">
        <v>179</v>
      </c>
      <c r="AS231" s="38">
        <v>99</v>
      </c>
      <c r="AT231" s="38">
        <v>31</v>
      </c>
      <c r="AU231" s="38">
        <v>68</v>
      </c>
      <c r="AV231" s="38">
        <v>52</v>
      </c>
      <c r="AW231" s="38">
        <v>13</v>
      </c>
      <c r="AX231" s="38">
        <v>39</v>
      </c>
      <c r="AY231" s="38">
        <v>283</v>
      </c>
      <c r="AZ231" s="38">
        <v>99</v>
      </c>
      <c r="BA231" s="38">
        <v>184</v>
      </c>
      <c r="BB231" s="38">
        <v>67</v>
      </c>
      <c r="BC231" s="37">
        <v>23.674911660777383</v>
      </c>
      <c r="BD231" s="40">
        <v>33</v>
      </c>
      <c r="BE231" s="37">
        <v>33.333333333333329</v>
      </c>
      <c r="BF231" s="40">
        <v>34</v>
      </c>
      <c r="BG231" s="37">
        <v>18.478260869565215</v>
      </c>
      <c r="BH231" s="38">
        <v>52</v>
      </c>
      <c r="BI231" s="38">
        <v>92</v>
      </c>
      <c r="BJ231" s="38">
        <v>33</v>
      </c>
      <c r="BK231" s="38">
        <v>59</v>
      </c>
      <c r="BL231" s="37">
        <v>56.521739130434781</v>
      </c>
      <c r="BM231" s="37">
        <v>39.393939393939391</v>
      </c>
      <c r="BN231" s="37">
        <v>66.101694915254242</v>
      </c>
      <c r="BO231" s="38">
        <v>107</v>
      </c>
      <c r="BP231" s="38">
        <v>41</v>
      </c>
      <c r="BQ231" s="38">
        <v>66</v>
      </c>
      <c r="BR231" s="37">
        <v>48.598130841121495</v>
      </c>
      <c r="BS231" s="37">
        <v>31.707317073170731</v>
      </c>
      <c r="BT231" s="37">
        <v>59.090909090909093</v>
      </c>
      <c r="BU231" s="2"/>
      <c r="BV231" s="2"/>
    </row>
    <row r="232" spans="1:74" ht="15.75" x14ac:dyDescent="0.3">
      <c r="A232" s="2" t="s">
        <v>54</v>
      </c>
      <c r="B232" s="2" t="s">
        <v>55</v>
      </c>
      <c r="C232" s="2" t="s">
        <v>56</v>
      </c>
      <c r="D232" s="2" t="s">
        <v>57</v>
      </c>
      <c r="E232" s="2" t="s">
        <v>1331</v>
      </c>
      <c r="F232" s="2" t="s">
        <v>1332</v>
      </c>
      <c r="G232" s="2" t="s">
        <v>60</v>
      </c>
      <c r="H232" s="2" t="s">
        <v>61</v>
      </c>
      <c r="I232" s="2" t="s">
        <v>62</v>
      </c>
      <c r="J232" s="2" t="s">
        <v>171</v>
      </c>
      <c r="K232" s="2" t="s">
        <v>159</v>
      </c>
      <c r="L232" s="2" t="s">
        <v>1365</v>
      </c>
      <c r="M232" s="2">
        <v>0</v>
      </c>
      <c r="N232" s="2" t="s">
        <v>1335</v>
      </c>
      <c r="O232" s="2" t="s">
        <v>1336</v>
      </c>
      <c r="P232" s="2" t="s">
        <v>80</v>
      </c>
      <c r="Q232" s="2" t="s">
        <v>69</v>
      </c>
      <c r="R232" s="2" t="s">
        <v>70</v>
      </c>
      <c r="S232" s="2" t="s">
        <v>1366</v>
      </c>
      <c r="T232" s="2" t="s">
        <v>1367</v>
      </c>
      <c r="U232" s="2" t="s">
        <v>1368</v>
      </c>
      <c r="V232" s="2" t="s">
        <v>1367</v>
      </c>
      <c r="W232" s="2" t="s">
        <v>74</v>
      </c>
      <c r="X232" s="38">
        <v>628</v>
      </c>
      <c r="Y232" s="38">
        <v>194</v>
      </c>
      <c r="Z232" s="38">
        <v>434</v>
      </c>
      <c r="AA232" s="38">
        <v>249</v>
      </c>
      <c r="AB232" s="38">
        <v>60</v>
      </c>
      <c r="AC232" s="38">
        <v>189</v>
      </c>
      <c r="AD232" s="38">
        <v>125</v>
      </c>
      <c r="AE232" s="38">
        <v>42</v>
      </c>
      <c r="AF232" s="38">
        <v>83</v>
      </c>
      <c r="AG232" s="38">
        <v>0</v>
      </c>
      <c r="AH232" s="38">
        <v>0</v>
      </c>
      <c r="AI232" s="38">
        <v>0</v>
      </c>
      <c r="AJ232" s="38">
        <v>254</v>
      </c>
      <c r="AK232" s="37">
        <v>40.445859872611464</v>
      </c>
      <c r="AL232" s="40">
        <f t="shared" si="12"/>
        <v>92</v>
      </c>
      <c r="AM232" s="37">
        <f t="shared" si="13"/>
        <v>47.422680412371129</v>
      </c>
      <c r="AN232" s="40">
        <f t="shared" si="14"/>
        <v>162</v>
      </c>
      <c r="AO232" s="37">
        <f t="shared" si="15"/>
        <v>37.327188940092164</v>
      </c>
      <c r="AP232" s="38">
        <v>620</v>
      </c>
      <c r="AQ232" s="38">
        <v>208</v>
      </c>
      <c r="AR232" s="38">
        <v>412</v>
      </c>
      <c r="AS232" s="38">
        <v>256</v>
      </c>
      <c r="AT232" s="38">
        <v>105</v>
      </c>
      <c r="AU232" s="38">
        <v>151</v>
      </c>
      <c r="AV232" s="38">
        <v>111</v>
      </c>
      <c r="AW232" s="38">
        <v>39</v>
      </c>
      <c r="AX232" s="38">
        <v>72</v>
      </c>
      <c r="AY232" s="38">
        <v>628</v>
      </c>
      <c r="AZ232" s="38">
        <v>194</v>
      </c>
      <c r="BA232" s="38">
        <v>434</v>
      </c>
      <c r="BB232" s="38">
        <v>153</v>
      </c>
      <c r="BC232" s="37">
        <v>24.363057324840764</v>
      </c>
      <c r="BD232" s="40">
        <v>52</v>
      </c>
      <c r="BE232" s="37">
        <v>26.804123711340207</v>
      </c>
      <c r="BF232" s="40">
        <v>101</v>
      </c>
      <c r="BG232" s="37">
        <v>23.271889400921658</v>
      </c>
      <c r="BH232" s="38">
        <v>111</v>
      </c>
      <c r="BI232" s="38">
        <v>191</v>
      </c>
      <c r="BJ232" s="38">
        <v>59</v>
      </c>
      <c r="BK232" s="38">
        <v>132</v>
      </c>
      <c r="BL232" s="37">
        <v>58.1151832460733</v>
      </c>
      <c r="BM232" s="37">
        <v>66.101694915254242</v>
      </c>
      <c r="BN232" s="37">
        <v>54.54545454545454</v>
      </c>
      <c r="BO232" s="38">
        <v>271</v>
      </c>
      <c r="BP232" s="38">
        <v>108</v>
      </c>
      <c r="BQ232" s="38">
        <v>163</v>
      </c>
      <c r="BR232" s="37">
        <v>40.959409594095945</v>
      </c>
      <c r="BS232" s="37">
        <v>36.111111111111107</v>
      </c>
      <c r="BT232" s="37">
        <v>44.171779141104295</v>
      </c>
      <c r="BU232" s="2"/>
      <c r="BV232" s="2"/>
    </row>
    <row r="233" spans="1:74" ht="15.75" x14ac:dyDescent="0.3">
      <c r="A233" s="2" t="s">
        <v>54</v>
      </c>
      <c r="B233" s="2" t="s">
        <v>55</v>
      </c>
      <c r="C233" s="2" t="s">
        <v>56</v>
      </c>
      <c r="D233" s="2" t="s">
        <v>57</v>
      </c>
      <c r="E233" s="2" t="s">
        <v>1331</v>
      </c>
      <c r="F233" s="2" t="s">
        <v>1332</v>
      </c>
      <c r="G233" s="2" t="s">
        <v>60</v>
      </c>
      <c r="H233" s="2" t="s">
        <v>61</v>
      </c>
      <c r="I233" s="2" t="s">
        <v>157</v>
      </c>
      <c r="J233" s="2" t="s">
        <v>1369</v>
      </c>
      <c r="K233" s="2" t="s">
        <v>76</v>
      </c>
      <c r="L233" s="2" t="s">
        <v>1370</v>
      </c>
      <c r="M233" s="2">
        <v>0</v>
      </c>
      <c r="N233" s="2" t="s">
        <v>1335</v>
      </c>
      <c r="O233" s="2" t="s">
        <v>1336</v>
      </c>
      <c r="P233" s="2" t="s">
        <v>80</v>
      </c>
      <c r="Q233" s="2" t="s">
        <v>69</v>
      </c>
      <c r="R233" s="2" t="s">
        <v>70</v>
      </c>
      <c r="S233" s="2" t="s">
        <v>1371</v>
      </c>
      <c r="T233" s="2" t="s">
        <v>1372</v>
      </c>
      <c r="U233" s="2" t="s">
        <v>1373</v>
      </c>
      <c r="V233" s="2" t="s">
        <v>1372</v>
      </c>
      <c r="W233" s="2" t="s">
        <v>74</v>
      </c>
      <c r="X233" s="38">
        <v>281</v>
      </c>
      <c r="Y233" s="38">
        <v>102</v>
      </c>
      <c r="Z233" s="38">
        <v>179</v>
      </c>
      <c r="AA233" s="38">
        <v>170</v>
      </c>
      <c r="AB233" s="38">
        <v>79</v>
      </c>
      <c r="AC233" s="38">
        <v>91</v>
      </c>
      <c r="AD233" s="38">
        <v>104</v>
      </c>
      <c r="AE233" s="38">
        <v>20</v>
      </c>
      <c r="AF233" s="38">
        <v>84</v>
      </c>
      <c r="AG233" s="38">
        <v>0</v>
      </c>
      <c r="AH233" s="38">
        <v>0</v>
      </c>
      <c r="AI233" s="38">
        <v>0</v>
      </c>
      <c r="AJ233" s="38">
        <v>7</v>
      </c>
      <c r="AK233" s="37">
        <v>2.4911032028469751</v>
      </c>
      <c r="AL233" s="40">
        <f t="shared" si="12"/>
        <v>3</v>
      </c>
      <c r="AM233" s="37">
        <f t="shared" si="13"/>
        <v>2.9411764705882351</v>
      </c>
      <c r="AN233" s="40">
        <f t="shared" si="14"/>
        <v>4</v>
      </c>
      <c r="AO233" s="37">
        <f t="shared" si="15"/>
        <v>2.2346368715083798</v>
      </c>
      <c r="AP233" s="38">
        <v>285</v>
      </c>
      <c r="AQ233" s="38">
        <v>105</v>
      </c>
      <c r="AR233" s="38">
        <v>180</v>
      </c>
      <c r="AS233" s="38">
        <v>101</v>
      </c>
      <c r="AT233" s="38">
        <v>38</v>
      </c>
      <c r="AU233" s="38">
        <v>63</v>
      </c>
      <c r="AV233" s="38">
        <v>99</v>
      </c>
      <c r="AW233" s="38">
        <v>25</v>
      </c>
      <c r="AX233" s="38">
        <v>74</v>
      </c>
      <c r="AY233" s="38">
        <v>248</v>
      </c>
      <c r="AZ233" s="38">
        <v>77</v>
      </c>
      <c r="BA233" s="38">
        <v>171</v>
      </c>
      <c r="BB233" s="38">
        <v>-35</v>
      </c>
      <c r="BC233" s="37">
        <v>-14.112903225806454</v>
      </c>
      <c r="BD233" s="40">
        <v>-15</v>
      </c>
      <c r="BE233" s="37">
        <v>-19.480519480519483</v>
      </c>
      <c r="BF233" s="40">
        <v>-20</v>
      </c>
      <c r="BG233" s="37">
        <v>-11.695906432748536</v>
      </c>
      <c r="BH233" s="38">
        <v>99</v>
      </c>
      <c r="BI233" s="38">
        <v>66</v>
      </c>
      <c r="BJ233" s="38">
        <v>15</v>
      </c>
      <c r="BK233" s="38">
        <v>51</v>
      </c>
      <c r="BL233" s="37">
        <v>150</v>
      </c>
      <c r="BM233" s="37">
        <v>166.66666666666669</v>
      </c>
      <c r="BN233" s="37">
        <v>145.09803921568627</v>
      </c>
      <c r="BO233" s="38">
        <v>101</v>
      </c>
      <c r="BP233" s="38">
        <v>28</v>
      </c>
      <c r="BQ233" s="38">
        <v>73</v>
      </c>
      <c r="BR233" s="37">
        <v>98.019801980198025</v>
      </c>
      <c r="BS233" s="37">
        <v>89.285714285714292</v>
      </c>
      <c r="BT233" s="37">
        <v>101.36986301369863</v>
      </c>
      <c r="BU233" s="2"/>
      <c r="BV233" s="2"/>
    </row>
    <row r="234" spans="1:74" ht="15.75" x14ac:dyDescent="0.3">
      <c r="A234" s="2" t="s">
        <v>54</v>
      </c>
      <c r="B234" s="2" t="s">
        <v>55</v>
      </c>
      <c r="C234" s="2" t="s">
        <v>56</v>
      </c>
      <c r="D234" s="2" t="s">
        <v>57</v>
      </c>
      <c r="E234" s="2" t="s">
        <v>1331</v>
      </c>
      <c r="F234" s="2" t="s">
        <v>1332</v>
      </c>
      <c r="G234" s="2" t="s">
        <v>186</v>
      </c>
      <c r="H234" s="2" t="s">
        <v>61</v>
      </c>
      <c r="I234" s="2" t="s">
        <v>304</v>
      </c>
      <c r="J234" s="2" t="s">
        <v>1374</v>
      </c>
      <c r="K234" s="2" t="s">
        <v>1375</v>
      </c>
      <c r="L234" s="2" t="s">
        <v>1376</v>
      </c>
      <c r="M234" s="2">
        <v>0</v>
      </c>
      <c r="N234" s="2" t="s">
        <v>1335</v>
      </c>
      <c r="O234" s="2" t="s">
        <v>1336</v>
      </c>
      <c r="P234" s="2" t="s">
        <v>1337</v>
      </c>
      <c r="Q234" s="2" t="s">
        <v>135</v>
      </c>
      <c r="R234" s="2" t="s">
        <v>136</v>
      </c>
      <c r="S234" s="2" t="s">
        <v>1377</v>
      </c>
      <c r="T234" s="2" t="s">
        <v>1378</v>
      </c>
      <c r="U234" s="2" t="s">
        <v>1379</v>
      </c>
      <c r="V234" s="2" t="s">
        <v>1378</v>
      </c>
      <c r="W234" s="2" t="s">
        <v>74</v>
      </c>
      <c r="X234" s="38">
        <v>59</v>
      </c>
      <c r="Y234" s="38">
        <v>23</v>
      </c>
      <c r="Z234" s="38">
        <v>36</v>
      </c>
      <c r="AA234" s="38">
        <v>38</v>
      </c>
      <c r="AB234" s="38">
        <v>9</v>
      </c>
      <c r="AC234" s="38">
        <v>29</v>
      </c>
      <c r="AD234" s="38">
        <v>5</v>
      </c>
      <c r="AE234" s="38">
        <v>4</v>
      </c>
      <c r="AF234" s="38">
        <v>1</v>
      </c>
      <c r="AG234" s="38">
        <v>0</v>
      </c>
      <c r="AH234" s="38">
        <v>0</v>
      </c>
      <c r="AI234" s="38">
        <v>0</v>
      </c>
      <c r="AJ234" s="38">
        <v>16</v>
      </c>
      <c r="AK234" s="37">
        <v>27.118644067796609</v>
      </c>
      <c r="AL234" s="40">
        <f t="shared" si="12"/>
        <v>10</v>
      </c>
      <c r="AM234" s="37">
        <f t="shared" si="13"/>
        <v>43.478260869565219</v>
      </c>
      <c r="AN234" s="40">
        <f t="shared" si="14"/>
        <v>6</v>
      </c>
      <c r="AO234" s="37">
        <f t="shared" si="15"/>
        <v>16.666666666666664</v>
      </c>
      <c r="AP234" s="38">
        <v>52</v>
      </c>
      <c r="AQ234" s="38">
        <v>23</v>
      </c>
      <c r="AR234" s="38">
        <v>29</v>
      </c>
      <c r="AS234" s="38">
        <v>16</v>
      </c>
      <c r="AT234" s="38">
        <v>8</v>
      </c>
      <c r="AU234" s="38">
        <v>8</v>
      </c>
      <c r="AV234" s="38">
        <v>19</v>
      </c>
      <c r="AW234" s="38">
        <v>5</v>
      </c>
      <c r="AX234" s="38">
        <v>14</v>
      </c>
      <c r="AY234" s="38">
        <v>59</v>
      </c>
      <c r="AZ234" s="38">
        <v>23</v>
      </c>
      <c r="BA234" s="38">
        <v>36</v>
      </c>
      <c r="BB234" s="38">
        <v>4</v>
      </c>
      <c r="BC234" s="37">
        <v>6.7796610169491522</v>
      </c>
      <c r="BD234" s="40">
        <v>3</v>
      </c>
      <c r="BE234" s="37">
        <v>13.043478260869565</v>
      </c>
      <c r="BF234" s="40">
        <v>1</v>
      </c>
      <c r="BG234" s="37">
        <v>2.7777777777777777</v>
      </c>
      <c r="BH234" s="38">
        <v>19</v>
      </c>
      <c r="BI234" s="38">
        <v>13</v>
      </c>
      <c r="BJ234" s="38">
        <v>3</v>
      </c>
      <c r="BK234" s="38">
        <v>10</v>
      </c>
      <c r="BL234" s="37">
        <v>146.15384615384613</v>
      </c>
      <c r="BM234" s="37">
        <v>166.66666666666669</v>
      </c>
      <c r="BN234" s="37">
        <v>140</v>
      </c>
      <c r="BO234" s="38">
        <v>28</v>
      </c>
      <c r="BP234" s="38">
        <v>8</v>
      </c>
      <c r="BQ234" s="38">
        <v>20</v>
      </c>
      <c r="BR234" s="37">
        <v>67.857142857142861</v>
      </c>
      <c r="BS234" s="37">
        <v>62.5</v>
      </c>
      <c r="BT234" s="37">
        <v>70</v>
      </c>
      <c r="BU234" s="2"/>
      <c r="BV234" s="2"/>
    </row>
    <row r="235" spans="1:74" ht="15.75" x14ac:dyDescent="0.3">
      <c r="A235" s="2" t="s">
        <v>54</v>
      </c>
      <c r="B235" s="2" t="s">
        <v>55</v>
      </c>
      <c r="C235" s="2" t="s">
        <v>56</v>
      </c>
      <c r="D235" s="2" t="s">
        <v>57</v>
      </c>
      <c r="E235" s="2" t="s">
        <v>1331</v>
      </c>
      <c r="F235" s="2" t="s">
        <v>1332</v>
      </c>
      <c r="G235" s="2" t="s">
        <v>60</v>
      </c>
      <c r="H235" s="2" t="s">
        <v>61</v>
      </c>
      <c r="I235" s="2" t="s">
        <v>130</v>
      </c>
      <c r="J235" s="2" t="s">
        <v>130</v>
      </c>
      <c r="K235" s="2" t="s">
        <v>76</v>
      </c>
      <c r="L235" s="2" t="s">
        <v>1380</v>
      </c>
      <c r="M235" s="2">
        <v>0</v>
      </c>
      <c r="N235" s="2" t="s">
        <v>1335</v>
      </c>
      <c r="O235" s="2" t="s">
        <v>1336</v>
      </c>
      <c r="P235" s="2" t="s">
        <v>1337</v>
      </c>
      <c r="Q235" s="2" t="s">
        <v>135</v>
      </c>
      <c r="R235" s="2" t="s">
        <v>136</v>
      </c>
      <c r="S235" s="2" t="s">
        <v>1381</v>
      </c>
      <c r="T235" s="2" t="s">
        <v>1382</v>
      </c>
      <c r="U235" s="2" t="s">
        <v>1383</v>
      </c>
      <c r="V235" s="2" t="s">
        <v>1382</v>
      </c>
      <c r="W235" s="2" t="s">
        <v>74</v>
      </c>
      <c r="X235" s="38">
        <v>233</v>
      </c>
      <c r="Y235" s="38">
        <v>93</v>
      </c>
      <c r="Z235" s="38">
        <v>140</v>
      </c>
      <c r="AA235" s="38">
        <v>127</v>
      </c>
      <c r="AB235" s="38">
        <v>40</v>
      </c>
      <c r="AC235" s="38">
        <v>87</v>
      </c>
      <c r="AD235" s="38">
        <v>50</v>
      </c>
      <c r="AE235" s="38">
        <v>22</v>
      </c>
      <c r="AF235" s="38">
        <v>28</v>
      </c>
      <c r="AG235" s="38">
        <v>0</v>
      </c>
      <c r="AH235" s="38">
        <v>0</v>
      </c>
      <c r="AI235" s="38">
        <v>0</v>
      </c>
      <c r="AJ235" s="38">
        <v>56</v>
      </c>
      <c r="AK235" s="37">
        <v>24.034334763948497</v>
      </c>
      <c r="AL235" s="40">
        <f t="shared" si="12"/>
        <v>31</v>
      </c>
      <c r="AM235" s="37">
        <f t="shared" si="13"/>
        <v>33.333333333333329</v>
      </c>
      <c r="AN235" s="40">
        <f t="shared" si="14"/>
        <v>25</v>
      </c>
      <c r="AO235" s="37">
        <f t="shared" si="15"/>
        <v>17.857142857142858</v>
      </c>
      <c r="AP235" s="38">
        <v>239</v>
      </c>
      <c r="AQ235" s="38">
        <v>108</v>
      </c>
      <c r="AR235" s="38">
        <v>131</v>
      </c>
      <c r="AS235" s="38">
        <v>99</v>
      </c>
      <c r="AT235" s="38">
        <v>47</v>
      </c>
      <c r="AU235" s="38">
        <v>52</v>
      </c>
      <c r="AV235" s="38">
        <v>61</v>
      </c>
      <c r="AW235" s="38">
        <v>17</v>
      </c>
      <c r="AX235" s="38">
        <v>44</v>
      </c>
      <c r="AY235" s="38">
        <v>233</v>
      </c>
      <c r="AZ235" s="38">
        <v>93</v>
      </c>
      <c r="BA235" s="38">
        <v>140</v>
      </c>
      <c r="BB235" s="38">
        <v>32</v>
      </c>
      <c r="BC235" s="37">
        <v>13.733905579399142</v>
      </c>
      <c r="BD235" s="40">
        <v>15</v>
      </c>
      <c r="BE235" s="37">
        <v>16.129032258064516</v>
      </c>
      <c r="BF235" s="40">
        <v>17</v>
      </c>
      <c r="BG235" s="37">
        <v>12.142857142857142</v>
      </c>
      <c r="BH235" s="38">
        <v>61</v>
      </c>
      <c r="BI235" s="38">
        <v>72</v>
      </c>
      <c r="BJ235" s="38">
        <v>19</v>
      </c>
      <c r="BK235" s="38">
        <v>53</v>
      </c>
      <c r="BL235" s="37">
        <v>84.722222222222214</v>
      </c>
      <c r="BM235" s="37">
        <v>89.473684210526315</v>
      </c>
      <c r="BN235" s="37">
        <v>83.018867924528308</v>
      </c>
      <c r="BO235" s="38">
        <v>90</v>
      </c>
      <c r="BP235" s="38">
        <v>29</v>
      </c>
      <c r="BQ235" s="38">
        <v>61</v>
      </c>
      <c r="BR235" s="37">
        <v>67.777777777777786</v>
      </c>
      <c r="BS235" s="37">
        <v>58.620689655172406</v>
      </c>
      <c r="BT235" s="37">
        <v>72.131147540983605</v>
      </c>
      <c r="BU235" s="2"/>
      <c r="BV235" s="2"/>
    </row>
    <row r="236" spans="1:74" ht="15.75" x14ac:dyDescent="0.3">
      <c r="A236" s="2" t="s">
        <v>54</v>
      </c>
      <c r="B236" s="2" t="s">
        <v>55</v>
      </c>
      <c r="C236" s="2" t="s">
        <v>56</v>
      </c>
      <c r="D236" s="2" t="s">
        <v>57</v>
      </c>
      <c r="E236" s="2" t="s">
        <v>1331</v>
      </c>
      <c r="F236" s="2" t="s">
        <v>1332</v>
      </c>
      <c r="G236" s="2" t="s">
        <v>60</v>
      </c>
      <c r="H236" s="2" t="s">
        <v>61</v>
      </c>
      <c r="I236" s="2" t="s">
        <v>114</v>
      </c>
      <c r="J236" s="2" t="s">
        <v>114</v>
      </c>
      <c r="K236" s="2" t="s">
        <v>76</v>
      </c>
      <c r="L236" s="2" t="s">
        <v>1384</v>
      </c>
      <c r="M236" s="2">
        <v>0</v>
      </c>
      <c r="N236" s="2" t="s">
        <v>1335</v>
      </c>
      <c r="O236" s="2" t="s">
        <v>1336</v>
      </c>
      <c r="P236" s="2" t="s">
        <v>1337</v>
      </c>
      <c r="Q236" s="2" t="s">
        <v>90</v>
      </c>
      <c r="R236" s="2" t="s">
        <v>91</v>
      </c>
      <c r="S236" s="2" t="s">
        <v>1385</v>
      </c>
      <c r="T236" s="2" t="s">
        <v>1386</v>
      </c>
      <c r="U236" s="2" t="s">
        <v>1387</v>
      </c>
      <c r="V236" s="2" t="s">
        <v>1386</v>
      </c>
      <c r="W236" s="2" t="s">
        <v>74</v>
      </c>
      <c r="X236" s="38">
        <v>253</v>
      </c>
      <c r="Y236" s="38">
        <v>96</v>
      </c>
      <c r="Z236" s="38">
        <v>157</v>
      </c>
      <c r="AA236" s="38">
        <v>193</v>
      </c>
      <c r="AB236" s="38">
        <v>63</v>
      </c>
      <c r="AC236" s="38">
        <v>130</v>
      </c>
      <c r="AD236" s="38">
        <v>24</v>
      </c>
      <c r="AE236" s="38">
        <v>12</v>
      </c>
      <c r="AF236" s="38">
        <v>12</v>
      </c>
      <c r="AG236" s="38">
        <v>0</v>
      </c>
      <c r="AH236" s="38">
        <v>0</v>
      </c>
      <c r="AI236" s="38">
        <v>0</v>
      </c>
      <c r="AJ236" s="38">
        <v>36</v>
      </c>
      <c r="AK236" s="37">
        <v>14.229249011857709</v>
      </c>
      <c r="AL236" s="40">
        <f t="shared" si="12"/>
        <v>21</v>
      </c>
      <c r="AM236" s="37">
        <f t="shared" si="13"/>
        <v>21.875</v>
      </c>
      <c r="AN236" s="40">
        <f t="shared" si="14"/>
        <v>15</v>
      </c>
      <c r="AO236" s="37">
        <f t="shared" si="15"/>
        <v>9.5541401273885356</v>
      </c>
      <c r="AP236" s="38">
        <v>308</v>
      </c>
      <c r="AQ236" s="38">
        <v>116</v>
      </c>
      <c r="AR236" s="38">
        <v>192</v>
      </c>
      <c r="AS236" s="38">
        <v>126</v>
      </c>
      <c r="AT236" s="38">
        <v>45</v>
      </c>
      <c r="AU236" s="38">
        <v>81</v>
      </c>
      <c r="AV236" s="38">
        <v>82</v>
      </c>
      <c r="AW236" s="38">
        <v>30</v>
      </c>
      <c r="AX236" s="38">
        <v>52</v>
      </c>
      <c r="AY236" s="38">
        <v>253</v>
      </c>
      <c r="AZ236" s="38">
        <v>96</v>
      </c>
      <c r="BA236" s="38">
        <v>157</v>
      </c>
      <c r="BB236" s="38">
        <v>-11</v>
      </c>
      <c r="BC236" s="37">
        <v>-4.3478260869565215</v>
      </c>
      <c r="BD236" s="40">
        <v>-5</v>
      </c>
      <c r="BE236" s="37">
        <v>-5.2083333333333339</v>
      </c>
      <c r="BF236" s="40">
        <v>-6</v>
      </c>
      <c r="BG236" s="37">
        <v>-3.8216560509554141</v>
      </c>
      <c r="BH236" s="38">
        <v>82</v>
      </c>
      <c r="BI236" s="38">
        <v>84</v>
      </c>
      <c r="BJ236" s="38">
        <v>31</v>
      </c>
      <c r="BK236" s="38">
        <v>53</v>
      </c>
      <c r="BL236" s="37">
        <v>97.61904761904762</v>
      </c>
      <c r="BM236" s="37">
        <v>96.774193548387103</v>
      </c>
      <c r="BN236" s="37">
        <v>98.113207547169807</v>
      </c>
      <c r="BO236" s="38">
        <v>103</v>
      </c>
      <c r="BP236" s="38">
        <v>45</v>
      </c>
      <c r="BQ236" s="38">
        <v>58</v>
      </c>
      <c r="BR236" s="37">
        <v>79.611650485436897</v>
      </c>
      <c r="BS236" s="37">
        <v>66.666666666666657</v>
      </c>
      <c r="BT236" s="37">
        <v>89.65517241379311</v>
      </c>
      <c r="BU236" s="2"/>
      <c r="BV236" s="2"/>
    </row>
    <row r="237" spans="1:74" ht="15.75" x14ac:dyDescent="0.3">
      <c r="A237" s="2" t="s">
        <v>54</v>
      </c>
      <c r="B237" s="2" t="s">
        <v>55</v>
      </c>
      <c r="C237" s="2" t="s">
        <v>56</v>
      </c>
      <c r="D237" s="2" t="s">
        <v>57</v>
      </c>
      <c r="E237" s="2" t="s">
        <v>1331</v>
      </c>
      <c r="F237" s="2" t="s">
        <v>1332</v>
      </c>
      <c r="G237" s="2" t="s">
        <v>60</v>
      </c>
      <c r="H237" s="2" t="s">
        <v>61</v>
      </c>
      <c r="I237" s="2" t="s">
        <v>275</v>
      </c>
      <c r="J237" s="2" t="s">
        <v>275</v>
      </c>
      <c r="K237" s="2" t="s">
        <v>1388</v>
      </c>
      <c r="L237" s="2" t="s">
        <v>1389</v>
      </c>
      <c r="M237" s="2">
        <v>0</v>
      </c>
      <c r="N237" s="2" t="s">
        <v>1335</v>
      </c>
      <c r="O237" s="2" t="s">
        <v>1336</v>
      </c>
      <c r="P237" s="2" t="s">
        <v>1337</v>
      </c>
      <c r="Q237" s="2" t="s">
        <v>135</v>
      </c>
      <c r="R237" s="2" t="s">
        <v>136</v>
      </c>
      <c r="S237" s="2" t="s">
        <v>1390</v>
      </c>
      <c r="T237" s="2" t="s">
        <v>1391</v>
      </c>
      <c r="U237" s="2" t="s">
        <v>1392</v>
      </c>
      <c r="V237" s="2" t="s">
        <v>1391</v>
      </c>
      <c r="W237" s="2" t="s">
        <v>74</v>
      </c>
      <c r="X237" s="38">
        <v>58</v>
      </c>
      <c r="Y237" s="38">
        <v>25</v>
      </c>
      <c r="Z237" s="38">
        <v>33</v>
      </c>
      <c r="AA237" s="38">
        <v>38</v>
      </c>
      <c r="AB237" s="38">
        <v>13</v>
      </c>
      <c r="AC237" s="38">
        <v>25</v>
      </c>
      <c r="AD237" s="38">
        <v>18</v>
      </c>
      <c r="AE237" s="38">
        <v>12</v>
      </c>
      <c r="AF237" s="38">
        <v>6</v>
      </c>
      <c r="AG237" s="38">
        <v>0</v>
      </c>
      <c r="AH237" s="38">
        <v>0</v>
      </c>
      <c r="AI237" s="38">
        <v>0</v>
      </c>
      <c r="AJ237" s="38">
        <v>2</v>
      </c>
      <c r="AK237" s="37">
        <v>3.4482758620689653</v>
      </c>
      <c r="AL237" s="40">
        <f t="shared" si="12"/>
        <v>0</v>
      </c>
      <c r="AM237" s="37">
        <f t="shared" si="13"/>
        <v>0</v>
      </c>
      <c r="AN237" s="40">
        <f t="shared" si="14"/>
        <v>2</v>
      </c>
      <c r="AO237" s="37">
        <f t="shared" si="15"/>
        <v>6.0606060606060606</v>
      </c>
      <c r="AP237" s="38">
        <v>63</v>
      </c>
      <c r="AQ237" s="38">
        <v>27</v>
      </c>
      <c r="AR237" s="38">
        <v>36</v>
      </c>
      <c r="AS237" s="38">
        <v>24</v>
      </c>
      <c r="AT237" s="38">
        <v>8</v>
      </c>
      <c r="AU237" s="38">
        <v>16</v>
      </c>
      <c r="AV237" s="38">
        <v>17</v>
      </c>
      <c r="AW237" s="38">
        <v>5</v>
      </c>
      <c r="AX237" s="38">
        <v>12</v>
      </c>
      <c r="AY237" s="38">
        <v>60</v>
      </c>
      <c r="AZ237" s="38">
        <v>26</v>
      </c>
      <c r="BA237" s="38">
        <v>34</v>
      </c>
      <c r="BB237" s="38">
        <v>4</v>
      </c>
      <c r="BC237" s="37">
        <v>6.666666666666667</v>
      </c>
      <c r="BD237" s="40">
        <v>2</v>
      </c>
      <c r="BE237" s="37">
        <v>7.6923076923076925</v>
      </c>
      <c r="BF237" s="40">
        <v>2</v>
      </c>
      <c r="BG237" s="37">
        <v>5.8823529411764701</v>
      </c>
      <c r="BH237" s="38">
        <v>17</v>
      </c>
      <c r="BI237" s="38">
        <v>19</v>
      </c>
      <c r="BJ237" s="38">
        <v>6</v>
      </c>
      <c r="BK237" s="38">
        <v>13</v>
      </c>
      <c r="BL237" s="37">
        <v>89.473684210526315</v>
      </c>
      <c r="BM237" s="37">
        <v>83.333333333333343</v>
      </c>
      <c r="BN237" s="37">
        <v>92.307692307692307</v>
      </c>
      <c r="BO237" s="38">
        <v>22</v>
      </c>
      <c r="BP237" s="38">
        <v>8</v>
      </c>
      <c r="BQ237" s="38">
        <v>14</v>
      </c>
      <c r="BR237" s="37">
        <v>77.272727272727266</v>
      </c>
      <c r="BS237" s="37">
        <v>62.5</v>
      </c>
      <c r="BT237" s="37">
        <v>85.714285714285708</v>
      </c>
      <c r="BU237" s="2"/>
      <c r="BV237" s="2"/>
    </row>
    <row r="238" spans="1:74" ht="15.75" x14ac:dyDescent="0.3">
      <c r="A238" s="2" t="s">
        <v>54</v>
      </c>
      <c r="B238" s="2" t="s">
        <v>1393</v>
      </c>
      <c r="C238" s="2" t="s">
        <v>1856</v>
      </c>
      <c r="D238" s="2" t="s">
        <v>57</v>
      </c>
      <c r="E238" s="2" t="s">
        <v>58</v>
      </c>
      <c r="F238" s="2" t="s">
        <v>59</v>
      </c>
      <c r="G238" s="2" t="s">
        <v>60</v>
      </c>
      <c r="H238" s="2" t="s">
        <v>61</v>
      </c>
      <c r="I238" s="2" t="s">
        <v>157</v>
      </c>
      <c r="J238" s="2" t="s">
        <v>1394</v>
      </c>
      <c r="K238" s="2" t="s">
        <v>1395</v>
      </c>
      <c r="L238" s="2" t="s">
        <v>1396</v>
      </c>
      <c r="M238" s="2">
        <v>1</v>
      </c>
      <c r="N238" s="2" t="s">
        <v>1397</v>
      </c>
      <c r="O238" s="2" t="s">
        <v>1398</v>
      </c>
      <c r="P238" s="2" t="s">
        <v>80</v>
      </c>
      <c r="Q238" s="2" t="s">
        <v>69</v>
      </c>
      <c r="R238" s="2" t="s">
        <v>70</v>
      </c>
      <c r="S238" s="2" t="s">
        <v>1399</v>
      </c>
      <c r="T238" s="2" t="s">
        <v>1400</v>
      </c>
      <c r="U238" s="2" t="s">
        <v>1401</v>
      </c>
      <c r="V238" s="2" t="s">
        <v>1400</v>
      </c>
      <c r="W238" s="2" t="s">
        <v>74</v>
      </c>
      <c r="X238" s="38">
        <v>217</v>
      </c>
      <c r="Y238" s="38">
        <v>90</v>
      </c>
      <c r="Z238" s="38">
        <v>127</v>
      </c>
      <c r="AA238" s="38">
        <v>206</v>
      </c>
      <c r="AB238" s="38">
        <v>86</v>
      </c>
      <c r="AC238" s="38">
        <v>120</v>
      </c>
      <c r="AD238" s="38">
        <v>7</v>
      </c>
      <c r="AE238" s="38">
        <v>2</v>
      </c>
      <c r="AF238" s="38">
        <v>5</v>
      </c>
      <c r="AG238" s="38">
        <v>0</v>
      </c>
      <c r="AH238" s="38">
        <v>0</v>
      </c>
      <c r="AI238" s="38">
        <v>0</v>
      </c>
      <c r="AJ238" s="38">
        <v>4</v>
      </c>
      <c r="AK238" s="37">
        <v>1.8433179723502304</v>
      </c>
      <c r="AL238" s="40">
        <f t="shared" si="12"/>
        <v>2</v>
      </c>
      <c r="AM238" s="37">
        <f t="shared" si="13"/>
        <v>2.2222222222222223</v>
      </c>
      <c r="AN238" s="40">
        <f t="shared" si="14"/>
        <v>2</v>
      </c>
      <c r="AO238" s="37">
        <f t="shared" si="15"/>
        <v>1.5748031496062991</v>
      </c>
      <c r="AP238" s="38">
        <v>285</v>
      </c>
      <c r="AQ238" s="38">
        <v>124</v>
      </c>
      <c r="AR238" s="38">
        <v>161</v>
      </c>
      <c r="AS238" s="38">
        <v>140</v>
      </c>
      <c r="AT238" s="38">
        <v>62</v>
      </c>
      <c r="AU238" s="38">
        <v>78</v>
      </c>
      <c r="AV238" s="38">
        <v>68</v>
      </c>
      <c r="AW238" s="38">
        <v>28</v>
      </c>
      <c r="AX238" s="38">
        <v>40</v>
      </c>
      <c r="AY238" s="38">
        <v>251</v>
      </c>
      <c r="AZ238" s="38">
        <v>104</v>
      </c>
      <c r="BA238" s="38">
        <v>147</v>
      </c>
      <c r="BB238" s="38">
        <v>38</v>
      </c>
      <c r="BC238" s="37">
        <v>15.139442231075698</v>
      </c>
      <c r="BD238" s="40">
        <v>14</v>
      </c>
      <c r="BE238" s="37">
        <v>13.461538461538462</v>
      </c>
      <c r="BF238" s="40">
        <v>24</v>
      </c>
      <c r="BG238" s="37">
        <v>16.326530612244898</v>
      </c>
      <c r="BH238" s="38">
        <v>68</v>
      </c>
      <c r="BI238" s="38">
        <v>70</v>
      </c>
      <c r="BJ238" s="38">
        <v>29</v>
      </c>
      <c r="BK238" s="38">
        <v>41</v>
      </c>
      <c r="BL238" s="37">
        <v>97.142857142857139</v>
      </c>
      <c r="BM238" s="37">
        <v>96.551724137931032</v>
      </c>
      <c r="BN238" s="37">
        <v>97.560975609756099</v>
      </c>
      <c r="BO238" s="38">
        <v>122</v>
      </c>
      <c r="BP238" s="38">
        <v>69</v>
      </c>
      <c r="BQ238" s="38">
        <v>53</v>
      </c>
      <c r="BR238" s="37">
        <v>55.737704918032783</v>
      </c>
      <c r="BS238" s="37">
        <v>40.579710144927539</v>
      </c>
      <c r="BT238" s="37">
        <v>75.471698113207552</v>
      </c>
      <c r="BU238" s="2"/>
      <c r="BV238" s="2"/>
    </row>
    <row r="239" spans="1:74" ht="15.75" x14ac:dyDescent="0.3">
      <c r="A239" s="2" t="s">
        <v>54</v>
      </c>
      <c r="B239" s="2" t="s">
        <v>1393</v>
      </c>
      <c r="C239" s="2" t="s">
        <v>1856</v>
      </c>
      <c r="D239" s="2" t="s">
        <v>57</v>
      </c>
      <c r="E239" s="2" t="s">
        <v>58</v>
      </c>
      <c r="F239" s="2" t="s">
        <v>59</v>
      </c>
      <c r="G239" s="2" t="s">
        <v>60</v>
      </c>
      <c r="H239" s="2" t="s">
        <v>61</v>
      </c>
      <c r="I239" s="2" t="s">
        <v>122</v>
      </c>
      <c r="J239" s="2" t="s">
        <v>740</v>
      </c>
      <c r="K239" s="2" t="s">
        <v>1402</v>
      </c>
      <c r="L239" s="2" t="s">
        <v>1403</v>
      </c>
      <c r="M239" s="2">
        <v>14</v>
      </c>
      <c r="N239" s="2" t="s">
        <v>1404</v>
      </c>
      <c r="O239" s="2" t="s">
        <v>1405</v>
      </c>
      <c r="P239" s="2" t="s">
        <v>80</v>
      </c>
      <c r="Q239" s="2" t="s">
        <v>69</v>
      </c>
      <c r="R239" s="2" t="s">
        <v>70</v>
      </c>
      <c r="S239" s="2" t="s">
        <v>1406</v>
      </c>
      <c r="T239" s="2" t="s">
        <v>1407</v>
      </c>
      <c r="U239" s="2" t="s">
        <v>1408</v>
      </c>
      <c r="V239" s="2" t="s">
        <v>1407</v>
      </c>
      <c r="W239" s="2" t="s">
        <v>74</v>
      </c>
      <c r="X239" s="38">
        <v>319</v>
      </c>
      <c r="Y239" s="38">
        <v>168</v>
      </c>
      <c r="Z239" s="38">
        <v>151</v>
      </c>
      <c r="AA239" s="38">
        <v>114</v>
      </c>
      <c r="AB239" s="38">
        <v>56</v>
      </c>
      <c r="AC239" s="38">
        <v>58</v>
      </c>
      <c r="AD239" s="38">
        <v>18</v>
      </c>
      <c r="AE239" s="38">
        <v>8</v>
      </c>
      <c r="AF239" s="38">
        <v>10</v>
      </c>
      <c r="AG239" s="38">
        <v>0</v>
      </c>
      <c r="AH239" s="38">
        <v>0</v>
      </c>
      <c r="AI239" s="38">
        <v>0</v>
      </c>
      <c r="AJ239" s="38">
        <v>187</v>
      </c>
      <c r="AK239" s="37">
        <v>58.620689655172406</v>
      </c>
      <c r="AL239" s="40">
        <f t="shared" si="12"/>
        <v>104</v>
      </c>
      <c r="AM239" s="37">
        <f t="shared" si="13"/>
        <v>61.904761904761905</v>
      </c>
      <c r="AN239" s="40">
        <f t="shared" si="14"/>
        <v>83</v>
      </c>
      <c r="AO239" s="37">
        <f t="shared" si="15"/>
        <v>54.966887417218544</v>
      </c>
      <c r="AP239" s="38">
        <v>383</v>
      </c>
      <c r="AQ239" s="38">
        <v>187</v>
      </c>
      <c r="AR239" s="38">
        <v>196</v>
      </c>
      <c r="AS239" s="38">
        <v>147</v>
      </c>
      <c r="AT239" s="38">
        <v>60</v>
      </c>
      <c r="AU239" s="38">
        <v>87</v>
      </c>
      <c r="AV239" s="38">
        <v>63</v>
      </c>
      <c r="AW239" s="38">
        <v>28</v>
      </c>
      <c r="AX239" s="38">
        <v>35</v>
      </c>
      <c r="AY239" s="38">
        <v>383</v>
      </c>
      <c r="AZ239" s="38">
        <v>204</v>
      </c>
      <c r="BA239" s="38">
        <v>179</v>
      </c>
      <c r="BB239" s="38">
        <v>84</v>
      </c>
      <c r="BC239" s="37">
        <v>21.932114882506529</v>
      </c>
      <c r="BD239" s="40">
        <v>49</v>
      </c>
      <c r="BE239" s="37">
        <v>24.019607843137255</v>
      </c>
      <c r="BF239" s="40">
        <v>35</v>
      </c>
      <c r="BG239" s="37">
        <v>19.553072625698324</v>
      </c>
      <c r="BH239" s="38">
        <v>63</v>
      </c>
      <c r="BI239" s="38">
        <v>79</v>
      </c>
      <c r="BJ239" s="38">
        <v>36</v>
      </c>
      <c r="BK239" s="38">
        <v>43</v>
      </c>
      <c r="BL239" s="37">
        <v>79.74683544303798</v>
      </c>
      <c r="BM239" s="37">
        <v>77.777777777777786</v>
      </c>
      <c r="BN239" s="37">
        <v>81.395348837209298</v>
      </c>
      <c r="BO239" s="38">
        <v>144</v>
      </c>
      <c r="BP239" s="38">
        <v>73</v>
      </c>
      <c r="BQ239" s="38">
        <v>71</v>
      </c>
      <c r="BR239" s="37">
        <v>43.75</v>
      </c>
      <c r="BS239" s="37">
        <v>38.356164383561641</v>
      </c>
      <c r="BT239" s="37">
        <v>49.295774647887328</v>
      </c>
      <c r="BU239" s="2"/>
      <c r="BV239" s="2"/>
    </row>
    <row r="240" spans="1:74" ht="15.75" x14ac:dyDescent="0.3">
      <c r="A240" s="2" t="s">
        <v>54</v>
      </c>
      <c r="B240" s="2" t="s">
        <v>1393</v>
      </c>
      <c r="C240" s="2" t="s">
        <v>1856</v>
      </c>
      <c r="D240" s="2" t="s">
        <v>57</v>
      </c>
      <c r="E240" s="2" t="s">
        <v>58</v>
      </c>
      <c r="F240" s="2" t="s">
        <v>59</v>
      </c>
      <c r="G240" s="2" t="s">
        <v>60</v>
      </c>
      <c r="H240" s="2" t="s">
        <v>61</v>
      </c>
      <c r="I240" s="2" t="s">
        <v>62</v>
      </c>
      <c r="J240" s="2" t="s">
        <v>63</v>
      </c>
      <c r="K240" s="2" t="s">
        <v>203</v>
      </c>
      <c r="L240" s="2" t="s">
        <v>204</v>
      </c>
      <c r="M240" s="2">
        <v>1048</v>
      </c>
      <c r="N240" s="2" t="s">
        <v>1409</v>
      </c>
      <c r="O240" s="2" t="s">
        <v>1410</v>
      </c>
      <c r="P240" s="2" t="s">
        <v>80</v>
      </c>
      <c r="Q240" s="2" t="s">
        <v>69</v>
      </c>
      <c r="R240" s="2" t="s">
        <v>70</v>
      </c>
      <c r="S240" s="2" t="s">
        <v>1411</v>
      </c>
      <c r="T240" s="2" t="s">
        <v>1412</v>
      </c>
      <c r="U240" s="2" t="s">
        <v>1413</v>
      </c>
      <c r="V240" s="2" t="s">
        <v>1412</v>
      </c>
      <c r="W240" s="2" t="s">
        <v>74</v>
      </c>
      <c r="X240" s="38">
        <v>846</v>
      </c>
      <c r="Y240" s="38">
        <v>424</v>
      </c>
      <c r="Z240" s="38">
        <v>422</v>
      </c>
      <c r="AA240" s="38">
        <v>513</v>
      </c>
      <c r="AB240" s="38">
        <v>233</v>
      </c>
      <c r="AC240" s="38">
        <v>280</v>
      </c>
      <c r="AD240" s="38">
        <v>208</v>
      </c>
      <c r="AE240" s="38">
        <v>126</v>
      </c>
      <c r="AF240" s="38">
        <v>82</v>
      </c>
      <c r="AG240" s="38">
        <v>62</v>
      </c>
      <c r="AH240" s="38">
        <v>23</v>
      </c>
      <c r="AI240" s="38">
        <v>39</v>
      </c>
      <c r="AJ240" s="38">
        <v>125</v>
      </c>
      <c r="AK240" s="37">
        <v>14.775413711583923</v>
      </c>
      <c r="AL240" s="40">
        <f t="shared" si="12"/>
        <v>65</v>
      </c>
      <c r="AM240" s="37">
        <f t="shared" si="13"/>
        <v>15.330188679245282</v>
      </c>
      <c r="AN240" s="40">
        <f t="shared" si="14"/>
        <v>60</v>
      </c>
      <c r="AO240" s="37">
        <f t="shared" si="15"/>
        <v>14.218009478672986</v>
      </c>
      <c r="AP240" s="38">
        <v>838</v>
      </c>
      <c r="AQ240" s="38">
        <v>413</v>
      </c>
      <c r="AR240" s="38">
        <v>425</v>
      </c>
      <c r="AS240" s="38">
        <v>306</v>
      </c>
      <c r="AT240" s="38">
        <v>150</v>
      </c>
      <c r="AU240" s="38">
        <v>156</v>
      </c>
      <c r="AV240" s="38">
        <v>344</v>
      </c>
      <c r="AW240" s="38">
        <v>159</v>
      </c>
      <c r="AX240" s="38">
        <v>185</v>
      </c>
      <c r="AY240" s="38">
        <v>844</v>
      </c>
      <c r="AZ240" s="38">
        <v>456</v>
      </c>
      <c r="BA240" s="38">
        <v>388</v>
      </c>
      <c r="BB240" s="38">
        <v>-32</v>
      </c>
      <c r="BC240" s="37">
        <v>-3.7914691943127963</v>
      </c>
      <c r="BD240" s="40">
        <v>34</v>
      </c>
      <c r="BE240" s="37">
        <v>7.4561403508771926</v>
      </c>
      <c r="BF240" s="40">
        <v>-66</v>
      </c>
      <c r="BG240" s="37">
        <v>-17.010309278350515</v>
      </c>
      <c r="BH240" s="38">
        <v>344</v>
      </c>
      <c r="BI240" s="38">
        <v>253</v>
      </c>
      <c r="BJ240" s="38">
        <v>118</v>
      </c>
      <c r="BK240" s="38">
        <v>135</v>
      </c>
      <c r="BL240" s="37">
        <v>135.96837944664031</v>
      </c>
      <c r="BM240" s="37">
        <v>134.74576271186442</v>
      </c>
      <c r="BN240" s="37">
        <v>137.03703703703704</v>
      </c>
      <c r="BO240" s="38">
        <v>301</v>
      </c>
      <c r="BP240" s="38">
        <v>157</v>
      </c>
      <c r="BQ240" s="38">
        <v>144</v>
      </c>
      <c r="BR240" s="37">
        <v>114.28571428571428</v>
      </c>
      <c r="BS240" s="37">
        <v>101.27388535031847</v>
      </c>
      <c r="BT240" s="37">
        <v>128.47222222222223</v>
      </c>
      <c r="BU240" s="2"/>
      <c r="BV240" s="2"/>
    </row>
    <row r="241" spans="1:74" ht="15.75" x14ac:dyDescent="0.3">
      <c r="A241" s="2" t="s">
        <v>54</v>
      </c>
      <c r="B241" s="2" t="s">
        <v>1393</v>
      </c>
      <c r="C241" s="2" t="s">
        <v>1856</v>
      </c>
      <c r="D241" s="2" t="s">
        <v>57</v>
      </c>
      <c r="E241" s="2" t="s">
        <v>58</v>
      </c>
      <c r="F241" s="2" t="s">
        <v>59</v>
      </c>
      <c r="G241" s="2" t="s">
        <v>60</v>
      </c>
      <c r="H241" s="2" t="s">
        <v>61</v>
      </c>
      <c r="I241" s="2" t="s">
        <v>62</v>
      </c>
      <c r="J241" s="2" t="s">
        <v>63</v>
      </c>
      <c r="K241" s="2" t="s">
        <v>203</v>
      </c>
      <c r="L241" s="2" t="s">
        <v>204</v>
      </c>
      <c r="M241" s="2">
        <v>1048</v>
      </c>
      <c r="N241" s="2" t="s">
        <v>1409</v>
      </c>
      <c r="O241" s="2" t="s">
        <v>1410</v>
      </c>
      <c r="P241" s="2" t="s">
        <v>80</v>
      </c>
      <c r="Q241" s="2" t="s">
        <v>69</v>
      </c>
      <c r="R241" s="2" t="s">
        <v>70</v>
      </c>
      <c r="S241" s="2" t="s">
        <v>1411</v>
      </c>
      <c r="T241" s="2" t="s">
        <v>1412</v>
      </c>
      <c r="U241" s="2" t="s">
        <v>1413</v>
      </c>
      <c r="V241" s="2" t="s">
        <v>1412</v>
      </c>
      <c r="W241" s="2" t="s">
        <v>113</v>
      </c>
      <c r="X241" s="38">
        <v>719</v>
      </c>
      <c r="Y241" s="38">
        <v>357</v>
      </c>
      <c r="Z241" s="38">
        <v>362</v>
      </c>
      <c r="AA241" s="38">
        <v>401</v>
      </c>
      <c r="AB241" s="38">
        <v>189</v>
      </c>
      <c r="AC241" s="38">
        <v>212</v>
      </c>
      <c r="AD241" s="38">
        <v>77</v>
      </c>
      <c r="AE241" s="38">
        <v>43</v>
      </c>
      <c r="AF241" s="38">
        <v>34</v>
      </c>
      <c r="AG241" s="38">
        <v>49</v>
      </c>
      <c r="AH241" s="38">
        <v>14</v>
      </c>
      <c r="AI241" s="38">
        <v>35</v>
      </c>
      <c r="AJ241" s="38">
        <v>241</v>
      </c>
      <c r="AK241" s="37">
        <v>33.518776077885953</v>
      </c>
      <c r="AL241" s="40">
        <f t="shared" si="12"/>
        <v>125</v>
      </c>
      <c r="AM241" s="37">
        <f t="shared" si="13"/>
        <v>35.014005602240893</v>
      </c>
      <c r="AN241" s="40">
        <f t="shared" si="14"/>
        <v>116</v>
      </c>
      <c r="AO241" s="37">
        <f t="shared" si="15"/>
        <v>32.044198895027627</v>
      </c>
      <c r="AP241" s="38">
        <v>777</v>
      </c>
      <c r="AQ241" s="38">
        <v>386</v>
      </c>
      <c r="AR241" s="38">
        <v>391</v>
      </c>
      <c r="AS241" s="38">
        <v>308</v>
      </c>
      <c r="AT241" s="38">
        <v>153</v>
      </c>
      <c r="AU241" s="38">
        <v>155</v>
      </c>
      <c r="AV241" s="38">
        <v>185</v>
      </c>
      <c r="AW241" s="38">
        <v>78</v>
      </c>
      <c r="AX241" s="38">
        <v>107</v>
      </c>
      <c r="AY241" s="38">
        <v>769</v>
      </c>
      <c r="AZ241" s="38">
        <v>363</v>
      </c>
      <c r="BA241" s="38">
        <v>406</v>
      </c>
      <c r="BB241" s="38">
        <v>115</v>
      </c>
      <c r="BC241" s="37">
        <v>14.954486345903772</v>
      </c>
      <c r="BD241" s="40">
        <v>52</v>
      </c>
      <c r="BE241" s="37">
        <v>14.325068870523417</v>
      </c>
      <c r="BF241" s="40">
        <v>63</v>
      </c>
      <c r="BG241" s="37">
        <v>15.517241379310345</v>
      </c>
      <c r="BH241" s="38">
        <v>185</v>
      </c>
      <c r="BI241" s="38">
        <v>208</v>
      </c>
      <c r="BJ241" s="38">
        <v>105</v>
      </c>
      <c r="BK241" s="38">
        <v>103</v>
      </c>
      <c r="BL241" s="37">
        <v>88.942307692307693</v>
      </c>
      <c r="BM241" s="37">
        <v>74.285714285714292</v>
      </c>
      <c r="BN241" s="37">
        <v>103.88349514563106</v>
      </c>
      <c r="BO241" s="38">
        <v>297</v>
      </c>
      <c r="BP241" s="38">
        <v>153</v>
      </c>
      <c r="BQ241" s="38">
        <v>144</v>
      </c>
      <c r="BR241" s="37">
        <v>62.289562289562298</v>
      </c>
      <c r="BS241" s="37">
        <v>50.980392156862742</v>
      </c>
      <c r="BT241" s="37">
        <v>74.305555555555557</v>
      </c>
      <c r="BU241" s="2"/>
      <c r="BV241" s="2"/>
    </row>
    <row r="242" spans="1:74" ht="15.75" x14ac:dyDescent="0.3">
      <c r="A242" s="2" t="s">
        <v>54</v>
      </c>
      <c r="B242" s="2" t="s">
        <v>1393</v>
      </c>
      <c r="C242" s="2" t="s">
        <v>1856</v>
      </c>
      <c r="D242" s="2" t="s">
        <v>57</v>
      </c>
      <c r="E242" s="2" t="s">
        <v>58</v>
      </c>
      <c r="F242" s="2" t="s">
        <v>59</v>
      </c>
      <c r="G242" s="2" t="s">
        <v>60</v>
      </c>
      <c r="H242" s="2" t="s">
        <v>61</v>
      </c>
      <c r="I242" s="2" t="s">
        <v>62</v>
      </c>
      <c r="J242" s="2" t="s">
        <v>75</v>
      </c>
      <c r="K242" s="2" t="s">
        <v>76</v>
      </c>
      <c r="L242" s="2" t="s">
        <v>77</v>
      </c>
      <c r="M242" s="2">
        <v>0</v>
      </c>
      <c r="N242" s="2" t="s">
        <v>1414</v>
      </c>
      <c r="O242" s="2" t="s">
        <v>1415</v>
      </c>
      <c r="P242" s="2" t="s">
        <v>1416</v>
      </c>
      <c r="Q242" s="2" t="s">
        <v>69</v>
      </c>
      <c r="R242" s="2" t="s">
        <v>70</v>
      </c>
      <c r="S242" s="2" t="s">
        <v>1417</v>
      </c>
      <c r="T242" s="2" t="s">
        <v>1418</v>
      </c>
      <c r="U242" s="2" t="s">
        <v>1419</v>
      </c>
      <c r="V242" s="2" t="s">
        <v>1418</v>
      </c>
      <c r="W242" s="2" t="s">
        <v>74</v>
      </c>
      <c r="X242" s="38">
        <v>949</v>
      </c>
      <c r="Y242" s="38">
        <v>403</v>
      </c>
      <c r="Z242" s="38">
        <v>546</v>
      </c>
      <c r="AA242" s="38">
        <v>468</v>
      </c>
      <c r="AB242" s="38">
        <v>216</v>
      </c>
      <c r="AC242" s="38">
        <v>252</v>
      </c>
      <c r="AD242" s="38">
        <v>215</v>
      </c>
      <c r="AE242" s="38">
        <v>93</v>
      </c>
      <c r="AF242" s="38">
        <v>122</v>
      </c>
      <c r="AG242" s="38">
        <v>101</v>
      </c>
      <c r="AH242" s="38">
        <v>27</v>
      </c>
      <c r="AI242" s="38">
        <v>74</v>
      </c>
      <c r="AJ242" s="38">
        <v>266</v>
      </c>
      <c r="AK242" s="37">
        <v>28.029504741833509</v>
      </c>
      <c r="AL242" s="40">
        <f t="shared" si="12"/>
        <v>94</v>
      </c>
      <c r="AM242" s="37">
        <f t="shared" si="13"/>
        <v>23.325062034739457</v>
      </c>
      <c r="AN242" s="40">
        <f t="shared" si="14"/>
        <v>172</v>
      </c>
      <c r="AO242" s="37">
        <f t="shared" si="15"/>
        <v>31.5018315018315</v>
      </c>
      <c r="AP242" s="38">
        <v>1065</v>
      </c>
      <c r="AQ242" s="38">
        <v>520</v>
      </c>
      <c r="AR242" s="38">
        <v>545</v>
      </c>
      <c r="AS242" s="38">
        <v>415</v>
      </c>
      <c r="AT242" s="38">
        <v>216</v>
      </c>
      <c r="AU242" s="38">
        <v>199</v>
      </c>
      <c r="AV242" s="38">
        <v>291</v>
      </c>
      <c r="AW242" s="38">
        <v>145</v>
      </c>
      <c r="AX242" s="38">
        <v>146</v>
      </c>
      <c r="AY242" s="38">
        <v>970</v>
      </c>
      <c r="AZ242" s="38">
        <v>448</v>
      </c>
      <c r="BA242" s="38">
        <v>522</v>
      </c>
      <c r="BB242" s="38">
        <v>29</v>
      </c>
      <c r="BC242" s="37">
        <v>2.9896907216494846</v>
      </c>
      <c r="BD242" s="40">
        <v>-1</v>
      </c>
      <c r="BE242" s="37">
        <v>-0.2232142857142857</v>
      </c>
      <c r="BF242" s="40">
        <v>30</v>
      </c>
      <c r="BG242" s="37">
        <v>5.7471264367816088</v>
      </c>
      <c r="BH242" s="38">
        <v>291</v>
      </c>
      <c r="BI242" s="38">
        <v>247</v>
      </c>
      <c r="BJ242" s="38">
        <v>112</v>
      </c>
      <c r="BK242" s="38">
        <v>135</v>
      </c>
      <c r="BL242" s="37">
        <v>117.81376518218623</v>
      </c>
      <c r="BM242" s="37">
        <v>129.46428571428572</v>
      </c>
      <c r="BN242" s="37">
        <v>108.14814814814815</v>
      </c>
      <c r="BO242" s="38">
        <v>349</v>
      </c>
      <c r="BP242" s="38">
        <v>175</v>
      </c>
      <c r="BQ242" s="38">
        <v>174</v>
      </c>
      <c r="BR242" s="37">
        <v>83.381088825214903</v>
      </c>
      <c r="BS242" s="37">
        <v>82.857142857142861</v>
      </c>
      <c r="BT242" s="37">
        <v>83.908045977011497</v>
      </c>
      <c r="BU242" s="2"/>
      <c r="BV242" s="2"/>
    </row>
    <row r="243" spans="1:74" ht="15.75" x14ac:dyDescent="0.3">
      <c r="A243" s="2" t="s">
        <v>54</v>
      </c>
      <c r="B243" s="2" t="s">
        <v>1393</v>
      </c>
      <c r="C243" s="2" t="s">
        <v>1856</v>
      </c>
      <c r="D243" s="2" t="s">
        <v>57</v>
      </c>
      <c r="E243" s="2" t="s">
        <v>58</v>
      </c>
      <c r="F243" s="2" t="s">
        <v>59</v>
      </c>
      <c r="G243" s="2" t="s">
        <v>60</v>
      </c>
      <c r="H243" s="2" t="s">
        <v>61</v>
      </c>
      <c r="I243" s="2" t="s">
        <v>62</v>
      </c>
      <c r="J243" s="2" t="s">
        <v>75</v>
      </c>
      <c r="K243" s="2" t="s">
        <v>76</v>
      </c>
      <c r="L243" s="2" t="s">
        <v>77</v>
      </c>
      <c r="M243" s="2">
        <v>0</v>
      </c>
      <c r="N243" s="2" t="s">
        <v>1414</v>
      </c>
      <c r="O243" s="2" t="s">
        <v>1415</v>
      </c>
      <c r="P243" s="2" t="s">
        <v>1416</v>
      </c>
      <c r="Q243" s="2" t="s">
        <v>69</v>
      </c>
      <c r="R243" s="2" t="s">
        <v>70</v>
      </c>
      <c r="S243" s="2" t="s">
        <v>1417</v>
      </c>
      <c r="T243" s="2" t="s">
        <v>1418</v>
      </c>
      <c r="U243" s="2" t="s">
        <v>1419</v>
      </c>
      <c r="V243" s="2" t="s">
        <v>1418</v>
      </c>
      <c r="W243" s="2" t="s">
        <v>113</v>
      </c>
      <c r="X243" s="38">
        <v>831</v>
      </c>
      <c r="Y243" s="38">
        <v>421</v>
      </c>
      <c r="Z243" s="38">
        <v>410</v>
      </c>
      <c r="AA243" s="38">
        <v>440</v>
      </c>
      <c r="AB243" s="38">
        <v>203</v>
      </c>
      <c r="AC243" s="38">
        <v>237</v>
      </c>
      <c r="AD243" s="38">
        <v>95</v>
      </c>
      <c r="AE243" s="38">
        <v>54</v>
      </c>
      <c r="AF243" s="38">
        <v>41</v>
      </c>
      <c r="AG243" s="38">
        <v>0</v>
      </c>
      <c r="AH243" s="38">
        <v>0</v>
      </c>
      <c r="AI243" s="38">
        <v>0</v>
      </c>
      <c r="AJ243" s="38">
        <v>296</v>
      </c>
      <c r="AK243" s="37">
        <v>35.619735258724425</v>
      </c>
      <c r="AL243" s="40">
        <f t="shared" si="12"/>
        <v>164</v>
      </c>
      <c r="AM243" s="37">
        <f t="shared" si="13"/>
        <v>38.954869358669839</v>
      </c>
      <c r="AN243" s="40">
        <f t="shared" si="14"/>
        <v>132</v>
      </c>
      <c r="AO243" s="37">
        <f t="shared" si="15"/>
        <v>32.195121951219512</v>
      </c>
      <c r="AP243" s="38">
        <v>975</v>
      </c>
      <c r="AQ243" s="38">
        <v>500</v>
      </c>
      <c r="AR243" s="38">
        <v>475</v>
      </c>
      <c r="AS243" s="38">
        <v>409</v>
      </c>
      <c r="AT243" s="38">
        <v>211</v>
      </c>
      <c r="AU243" s="38">
        <v>198</v>
      </c>
      <c r="AV243" s="38">
        <v>164</v>
      </c>
      <c r="AW243" s="38">
        <v>73</v>
      </c>
      <c r="AX243" s="38">
        <v>91</v>
      </c>
      <c r="AY243" s="38">
        <v>896</v>
      </c>
      <c r="AZ243" s="38">
        <v>460</v>
      </c>
      <c r="BA243" s="38">
        <v>436</v>
      </c>
      <c r="BB243" s="38">
        <v>166</v>
      </c>
      <c r="BC243" s="37">
        <v>18.526785714285715</v>
      </c>
      <c r="BD243" s="40">
        <v>98</v>
      </c>
      <c r="BE243" s="37">
        <v>21.304347826086957</v>
      </c>
      <c r="BF243" s="40">
        <v>68</v>
      </c>
      <c r="BG243" s="37">
        <v>15.596330275229359</v>
      </c>
      <c r="BH243" s="38">
        <v>164</v>
      </c>
      <c r="BI243" s="38">
        <v>222</v>
      </c>
      <c r="BJ243" s="38">
        <v>117</v>
      </c>
      <c r="BK243" s="38">
        <v>105</v>
      </c>
      <c r="BL243" s="37">
        <v>73.873873873873876</v>
      </c>
      <c r="BM243" s="37">
        <v>62.393162393162392</v>
      </c>
      <c r="BN243" s="37">
        <v>86.666666666666671</v>
      </c>
      <c r="BO243" s="38">
        <v>356</v>
      </c>
      <c r="BP243" s="38">
        <v>210</v>
      </c>
      <c r="BQ243" s="38">
        <v>146</v>
      </c>
      <c r="BR243" s="37">
        <v>46.067415730337082</v>
      </c>
      <c r="BS243" s="37">
        <v>34.761904761904759</v>
      </c>
      <c r="BT243" s="37">
        <v>62.328767123287676</v>
      </c>
      <c r="BU243" s="2"/>
      <c r="BV243" s="2"/>
    </row>
    <row r="244" spans="1:74" ht="15.75" x14ac:dyDescent="0.3">
      <c r="A244" s="2" t="s">
        <v>54</v>
      </c>
      <c r="B244" s="2" t="s">
        <v>1393</v>
      </c>
      <c r="C244" s="2" t="s">
        <v>1856</v>
      </c>
      <c r="D244" s="2" t="s">
        <v>57</v>
      </c>
      <c r="E244" s="2" t="s">
        <v>58</v>
      </c>
      <c r="F244" s="2" t="s">
        <v>59</v>
      </c>
      <c r="G244" s="2" t="s">
        <v>60</v>
      </c>
      <c r="H244" s="2" t="s">
        <v>61</v>
      </c>
      <c r="I244" s="2" t="s">
        <v>85</v>
      </c>
      <c r="J244" s="2" t="s">
        <v>85</v>
      </c>
      <c r="K244" s="2" t="s">
        <v>86</v>
      </c>
      <c r="L244" s="2" t="s">
        <v>1420</v>
      </c>
      <c r="M244" s="2">
        <v>7</v>
      </c>
      <c r="N244" s="2" t="s">
        <v>1421</v>
      </c>
      <c r="O244" s="2" t="s">
        <v>1422</v>
      </c>
      <c r="P244" s="2" t="s">
        <v>80</v>
      </c>
      <c r="Q244" s="2" t="s">
        <v>90</v>
      </c>
      <c r="R244" s="2" t="s">
        <v>91</v>
      </c>
      <c r="S244" s="2" t="s">
        <v>1423</v>
      </c>
      <c r="T244" s="2" t="s">
        <v>1424</v>
      </c>
      <c r="U244" s="2" t="s">
        <v>1425</v>
      </c>
      <c r="V244" s="2" t="s">
        <v>1424</v>
      </c>
      <c r="W244" s="2" t="s">
        <v>74</v>
      </c>
      <c r="X244" s="38">
        <v>1088</v>
      </c>
      <c r="Y244" s="38">
        <v>506</v>
      </c>
      <c r="Z244" s="38">
        <v>582</v>
      </c>
      <c r="AA244" s="38">
        <v>839</v>
      </c>
      <c r="AB244" s="38">
        <v>344</v>
      </c>
      <c r="AC244" s="38">
        <v>495</v>
      </c>
      <c r="AD244" s="38">
        <v>138</v>
      </c>
      <c r="AE244" s="38">
        <v>87</v>
      </c>
      <c r="AF244" s="38">
        <v>51</v>
      </c>
      <c r="AG244" s="38">
        <v>77</v>
      </c>
      <c r="AH244" s="38">
        <v>16</v>
      </c>
      <c r="AI244" s="38">
        <v>61</v>
      </c>
      <c r="AJ244" s="38">
        <v>111</v>
      </c>
      <c r="AK244" s="37">
        <v>10.20220588235294</v>
      </c>
      <c r="AL244" s="40">
        <f t="shared" si="12"/>
        <v>75</v>
      </c>
      <c r="AM244" s="37">
        <f t="shared" si="13"/>
        <v>14.822134387351779</v>
      </c>
      <c r="AN244" s="40">
        <f t="shared" si="14"/>
        <v>36</v>
      </c>
      <c r="AO244" s="37">
        <f t="shared" si="15"/>
        <v>6.1855670103092786</v>
      </c>
      <c r="AP244" s="38">
        <v>987</v>
      </c>
      <c r="AQ244" s="38">
        <v>445</v>
      </c>
      <c r="AR244" s="38">
        <v>542</v>
      </c>
      <c r="AS244" s="38">
        <v>361</v>
      </c>
      <c r="AT244" s="38">
        <v>161</v>
      </c>
      <c r="AU244" s="38">
        <v>200</v>
      </c>
      <c r="AV244" s="38">
        <v>349</v>
      </c>
      <c r="AW244" s="38">
        <v>158</v>
      </c>
      <c r="AX244" s="38">
        <v>191</v>
      </c>
      <c r="AY244" s="38">
        <v>1118</v>
      </c>
      <c r="AZ244" s="38">
        <v>529</v>
      </c>
      <c r="BA244" s="38">
        <v>589</v>
      </c>
      <c r="BB244" s="38">
        <v>143</v>
      </c>
      <c r="BC244" s="37">
        <v>12.790697674418606</v>
      </c>
      <c r="BD244" s="40">
        <v>87</v>
      </c>
      <c r="BE244" s="37">
        <v>16.446124763705104</v>
      </c>
      <c r="BF244" s="40">
        <v>56</v>
      </c>
      <c r="BG244" s="37">
        <v>9.5076400679117139</v>
      </c>
      <c r="BH244" s="38">
        <v>349</v>
      </c>
      <c r="BI244" s="38">
        <v>421</v>
      </c>
      <c r="BJ244" s="38">
        <v>188</v>
      </c>
      <c r="BK244" s="38">
        <v>233</v>
      </c>
      <c r="BL244" s="37">
        <v>82.89786223277909</v>
      </c>
      <c r="BM244" s="37">
        <v>84.042553191489361</v>
      </c>
      <c r="BN244" s="37">
        <v>81.97424892703863</v>
      </c>
      <c r="BO244" s="38">
        <v>611</v>
      </c>
      <c r="BP244" s="38">
        <v>302</v>
      </c>
      <c r="BQ244" s="38">
        <v>309</v>
      </c>
      <c r="BR244" s="37">
        <v>57.119476268412441</v>
      </c>
      <c r="BS244" s="37">
        <v>52.317880794701985</v>
      </c>
      <c r="BT244" s="37">
        <v>61.812297734627833</v>
      </c>
      <c r="BU244" s="2"/>
      <c r="BV244" s="2"/>
    </row>
    <row r="245" spans="1:74" ht="15.75" x14ac:dyDescent="0.3">
      <c r="A245" s="2" t="s">
        <v>54</v>
      </c>
      <c r="B245" s="2" t="s">
        <v>1393</v>
      </c>
      <c r="C245" s="2" t="s">
        <v>1856</v>
      </c>
      <c r="D245" s="2" t="s">
        <v>57</v>
      </c>
      <c r="E245" s="2" t="s">
        <v>58</v>
      </c>
      <c r="F245" s="2" t="s">
        <v>59</v>
      </c>
      <c r="G245" s="2" t="s">
        <v>60</v>
      </c>
      <c r="H245" s="2" t="s">
        <v>61</v>
      </c>
      <c r="I245" s="2" t="s">
        <v>178</v>
      </c>
      <c r="J245" s="2" t="s">
        <v>178</v>
      </c>
      <c r="K245" s="2" t="s">
        <v>159</v>
      </c>
      <c r="L245" s="2" t="s">
        <v>1426</v>
      </c>
      <c r="M245" s="2">
        <v>0</v>
      </c>
      <c r="N245" s="2" t="s">
        <v>1427</v>
      </c>
      <c r="O245" s="2" t="s">
        <v>1428</v>
      </c>
      <c r="P245" s="2" t="s">
        <v>931</v>
      </c>
      <c r="Q245" s="2" t="s">
        <v>90</v>
      </c>
      <c r="R245" s="2" t="s">
        <v>91</v>
      </c>
      <c r="S245" s="2" t="s">
        <v>1429</v>
      </c>
      <c r="T245" s="2" t="s">
        <v>1430</v>
      </c>
      <c r="U245" s="2" t="s">
        <v>1431</v>
      </c>
      <c r="V245" s="2" t="s">
        <v>1430</v>
      </c>
      <c r="W245" s="2" t="s">
        <v>74</v>
      </c>
      <c r="X245" s="38">
        <v>814</v>
      </c>
      <c r="Y245" s="38">
        <v>416</v>
      </c>
      <c r="Z245" s="38">
        <v>398</v>
      </c>
      <c r="AA245" s="38">
        <v>427</v>
      </c>
      <c r="AB245" s="38">
        <v>198</v>
      </c>
      <c r="AC245" s="38">
        <v>229</v>
      </c>
      <c r="AD245" s="38">
        <v>210</v>
      </c>
      <c r="AE245" s="38">
        <v>120</v>
      </c>
      <c r="AF245" s="38">
        <v>90</v>
      </c>
      <c r="AG245" s="38">
        <v>169</v>
      </c>
      <c r="AH245" s="38">
        <v>84</v>
      </c>
      <c r="AI245" s="38">
        <v>85</v>
      </c>
      <c r="AJ245" s="38">
        <v>177</v>
      </c>
      <c r="AK245" s="37">
        <v>21.744471744471745</v>
      </c>
      <c r="AL245" s="40">
        <f t="shared" si="12"/>
        <v>98</v>
      </c>
      <c r="AM245" s="37">
        <f t="shared" si="13"/>
        <v>23.557692307692307</v>
      </c>
      <c r="AN245" s="40">
        <f t="shared" si="14"/>
        <v>79</v>
      </c>
      <c r="AO245" s="37">
        <f t="shared" si="15"/>
        <v>19.849246231155778</v>
      </c>
      <c r="AP245" s="38">
        <v>1187</v>
      </c>
      <c r="AQ245" s="38">
        <v>622</v>
      </c>
      <c r="AR245" s="38">
        <v>565</v>
      </c>
      <c r="AS245" s="38">
        <v>442</v>
      </c>
      <c r="AT245" s="38">
        <v>241</v>
      </c>
      <c r="AU245" s="38">
        <v>201</v>
      </c>
      <c r="AV245" s="38">
        <v>282</v>
      </c>
      <c r="AW245" s="38">
        <v>144</v>
      </c>
      <c r="AX245" s="38">
        <v>138</v>
      </c>
      <c r="AY245" s="38">
        <v>1147</v>
      </c>
      <c r="AZ245" s="38">
        <v>597</v>
      </c>
      <c r="BA245" s="38">
        <v>550</v>
      </c>
      <c r="BB245" s="38">
        <v>120</v>
      </c>
      <c r="BC245" s="37">
        <v>10.46207497820401</v>
      </c>
      <c r="BD245" s="40">
        <v>72</v>
      </c>
      <c r="BE245" s="37">
        <v>12.060301507537687</v>
      </c>
      <c r="BF245" s="40">
        <v>48</v>
      </c>
      <c r="BG245" s="37">
        <v>8.7272727272727284</v>
      </c>
      <c r="BH245" s="38">
        <v>282</v>
      </c>
      <c r="BI245" s="38">
        <v>336</v>
      </c>
      <c r="BJ245" s="38">
        <v>172</v>
      </c>
      <c r="BK245" s="38">
        <v>164</v>
      </c>
      <c r="BL245" s="37">
        <v>83.928571428571431</v>
      </c>
      <c r="BM245" s="37">
        <v>83.720930232558146</v>
      </c>
      <c r="BN245" s="37">
        <v>84.146341463414629</v>
      </c>
      <c r="BO245" s="38">
        <v>400</v>
      </c>
      <c r="BP245" s="38">
        <v>217</v>
      </c>
      <c r="BQ245" s="38">
        <v>183</v>
      </c>
      <c r="BR245" s="37">
        <v>70.5</v>
      </c>
      <c r="BS245" s="37">
        <v>66.359447004608299</v>
      </c>
      <c r="BT245" s="37">
        <v>75.409836065573771</v>
      </c>
      <c r="BU245" s="2"/>
      <c r="BV245" s="2"/>
    </row>
    <row r="246" spans="1:74" ht="15.75" x14ac:dyDescent="0.3">
      <c r="A246" s="2" t="s">
        <v>54</v>
      </c>
      <c r="B246" s="2" t="s">
        <v>1393</v>
      </c>
      <c r="C246" s="2" t="s">
        <v>1856</v>
      </c>
      <c r="D246" s="2" t="s">
        <v>57</v>
      </c>
      <c r="E246" s="2" t="s">
        <v>58</v>
      </c>
      <c r="F246" s="2" t="s">
        <v>59</v>
      </c>
      <c r="G246" s="2" t="s">
        <v>60</v>
      </c>
      <c r="H246" s="2" t="s">
        <v>61</v>
      </c>
      <c r="I246" s="2" t="s">
        <v>178</v>
      </c>
      <c r="J246" s="2" t="s">
        <v>178</v>
      </c>
      <c r="K246" s="2" t="s">
        <v>159</v>
      </c>
      <c r="L246" s="2" t="s">
        <v>1426</v>
      </c>
      <c r="M246" s="2">
        <v>0</v>
      </c>
      <c r="N246" s="2" t="s">
        <v>1427</v>
      </c>
      <c r="O246" s="2" t="s">
        <v>1428</v>
      </c>
      <c r="P246" s="2" t="s">
        <v>931</v>
      </c>
      <c r="Q246" s="2" t="s">
        <v>90</v>
      </c>
      <c r="R246" s="2" t="s">
        <v>91</v>
      </c>
      <c r="S246" s="2" t="s">
        <v>1429</v>
      </c>
      <c r="T246" s="2" t="s">
        <v>1430</v>
      </c>
      <c r="U246" s="2" t="s">
        <v>1431</v>
      </c>
      <c r="V246" s="2" t="s">
        <v>1430</v>
      </c>
      <c r="W246" s="2" t="s">
        <v>113</v>
      </c>
      <c r="X246" s="38">
        <v>654</v>
      </c>
      <c r="Y246" s="38">
        <v>331</v>
      </c>
      <c r="Z246" s="38">
        <v>323</v>
      </c>
      <c r="AA246" s="38">
        <v>297</v>
      </c>
      <c r="AB246" s="38">
        <v>123</v>
      </c>
      <c r="AC246" s="38">
        <v>174</v>
      </c>
      <c r="AD246" s="38">
        <v>196</v>
      </c>
      <c r="AE246" s="38">
        <v>121</v>
      </c>
      <c r="AF246" s="38">
        <v>75</v>
      </c>
      <c r="AG246" s="38">
        <v>104</v>
      </c>
      <c r="AH246" s="38">
        <v>48</v>
      </c>
      <c r="AI246" s="38">
        <v>56</v>
      </c>
      <c r="AJ246" s="38">
        <v>161</v>
      </c>
      <c r="AK246" s="37">
        <v>24.617737003058103</v>
      </c>
      <c r="AL246" s="40">
        <f t="shared" si="12"/>
        <v>87</v>
      </c>
      <c r="AM246" s="37">
        <f t="shared" si="13"/>
        <v>26.283987915407852</v>
      </c>
      <c r="AN246" s="40">
        <f t="shared" si="14"/>
        <v>74</v>
      </c>
      <c r="AO246" s="37">
        <f t="shared" si="15"/>
        <v>22.910216718266255</v>
      </c>
      <c r="AP246" s="38">
        <v>957</v>
      </c>
      <c r="AQ246" s="38">
        <v>468</v>
      </c>
      <c r="AR246" s="38">
        <v>489</v>
      </c>
      <c r="AS246" s="38">
        <v>335</v>
      </c>
      <c r="AT246" s="38">
        <v>160</v>
      </c>
      <c r="AU246" s="38">
        <v>175</v>
      </c>
      <c r="AV246" s="38">
        <v>210</v>
      </c>
      <c r="AW246" s="38">
        <v>96</v>
      </c>
      <c r="AX246" s="38">
        <v>114</v>
      </c>
      <c r="AY246" s="38">
        <v>1013</v>
      </c>
      <c r="AZ246" s="38">
        <v>511</v>
      </c>
      <c r="BA246" s="38">
        <v>502</v>
      </c>
      <c r="BB246" s="38">
        <v>181</v>
      </c>
      <c r="BC246" s="37">
        <v>17.867719644619942</v>
      </c>
      <c r="BD246" s="40">
        <v>107</v>
      </c>
      <c r="BE246" s="37">
        <v>20.939334637964773</v>
      </c>
      <c r="BF246" s="40">
        <v>74</v>
      </c>
      <c r="BG246" s="37">
        <v>14.741035856573706</v>
      </c>
      <c r="BH246" s="38">
        <v>210</v>
      </c>
      <c r="BI246" s="38">
        <v>284</v>
      </c>
      <c r="BJ246" s="38">
        <v>144</v>
      </c>
      <c r="BK246" s="38">
        <v>140</v>
      </c>
      <c r="BL246" s="37">
        <v>73.943661971830991</v>
      </c>
      <c r="BM246" s="37">
        <v>66.666666666666657</v>
      </c>
      <c r="BN246" s="37">
        <v>81.428571428571431</v>
      </c>
      <c r="BO246" s="38">
        <v>344</v>
      </c>
      <c r="BP246" s="38">
        <v>197</v>
      </c>
      <c r="BQ246" s="38">
        <v>147</v>
      </c>
      <c r="BR246" s="37">
        <v>61.046511627906973</v>
      </c>
      <c r="BS246" s="37">
        <v>48.73096446700508</v>
      </c>
      <c r="BT246" s="37">
        <v>77.551020408163268</v>
      </c>
      <c r="BU246" s="2"/>
      <c r="BV246" s="2"/>
    </row>
    <row r="247" spans="1:74" ht="15.75" x14ac:dyDescent="0.3">
      <c r="A247" s="2" t="s">
        <v>54</v>
      </c>
      <c r="B247" s="2" t="s">
        <v>1393</v>
      </c>
      <c r="C247" s="2" t="s">
        <v>1856</v>
      </c>
      <c r="D247" s="2" t="s">
        <v>57</v>
      </c>
      <c r="E247" s="2" t="s">
        <v>58</v>
      </c>
      <c r="F247" s="2" t="s">
        <v>59</v>
      </c>
      <c r="G247" s="2" t="s">
        <v>60</v>
      </c>
      <c r="H247" s="2" t="s">
        <v>61</v>
      </c>
      <c r="I247" s="2" t="s">
        <v>122</v>
      </c>
      <c r="J247" s="2" t="s">
        <v>740</v>
      </c>
      <c r="K247" s="2" t="s">
        <v>159</v>
      </c>
      <c r="L247" s="2" t="s">
        <v>1432</v>
      </c>
      <c r="M247" s="2">
        <v>0</v>
      </c>
      <c r="N247" s="2" t="s">
        <v>1433</v>
      </c>
      <c r="O247" s="2" t="s">
        <v>1434</v>
      </c>
      <c r="P247" s="2" t="s">
        <v>80</v>
      </c>
      <c r="Q247" s="2" t="s">
        <v>69</v>
      </c>
      <c r="R247" s="2" t="s">
        <v>70</v>
      </c>
      <c r="S247" s="2" t="s">
        <v>1435</v>
      </c>
      <c r="T247" s="2" t="s">
        <v>1436</v>
      </c>
      <c r="U247" s="2" t="s">
        <v>1437</v>
      </c>
      <c r="V247" s="2" t="s">
        <v>1436</v>
      </c>
      <c r="W247" s="2" t="s">
        <v>74</v>
      </c>
      <c r="X247" s="38">
        <v>1364</v>
      </c>
      <c r="Y247" s="38">
        <v>706</v>
      </c>
      <c r="Z247" s="38">
        <v>658</v>
      </c>
      <c r="AA247" s="38">
        <v>682</v>
      </c>
      <c r="AB247" s="38">
        <v>344</v>
      </c>
      <c r="AC247" s="38">
        <v>338</v>
      </c>
      <c r="AD247" s="38">
        <v>240</v>
      </c>
      <c r="AE247" s="38">
        <v>125</v>
      </c>
      <c r="AF247" s="38">
        <v>115</v>
      </c>
      <c r="AG247" s="38">
        <v>145</v>
      </c>
      <c r="AH247" s="38">
        <v>76</v>
      </c>
      <c r="AI247" s="38">
        <v>69</v>
      </c>
      <c r="AJ247" s="38">
        <v>442</v>
      </c>
      <c r="AK247" s="37">
        <v>32.404692082111438</v>
      </c>
      <c r="AL247" s="40">
        <f t="shared" si="12"/>
        <v>237</v>
      </c>
      <c r="AM247" s="37">
        <f t="shared" si="13"/>
        <v>33.569405099150138</v>
      </c>
      <c r="AN247" s="40">
        <f t="shared" si="14"/>
        <v>205</v>
      </c>
      <c r="AO247" s="37">
        <f t="shared" si="15"/>
        <v>31.155015197568385</v>
      </c>
      <c r="AP247" s="38">
        <v>1446</v>
      </c>
      <c r="AQ247" s="38">
        <v>783</v>
      </c>
      <c r="AR247" s="38">
        <v>663</v>
      </c>
      <c r="AS247" s="38">
        <v>513</v>
      </c>
      <c r="AT247" s="38">
        <v>288</v>
      </c>
      <c r="AU247" s="38">
        <v>225</v>
      </c>
      <c r="AV247" s="38">
        <v>359</v>
      </c>
      <c r="AW247" s="38">
        <v>186</v>
      </c>
      <c r="AX247" s="38">
        <v>173</v>
      </c>
      <c r="AY247" s="38">
        <v>1473</v>
      </c>
      <c r="AZ247" s="38">
        <v>792</v>
      </c>
      <c r="BA247" s="38">
        <v>681</v>
      </c>
      <c r="BB247" s="38">
        <v>181</v>
      </c>
      <c r="BC247" s="37">
        <v>12.287847929395792</v>
      </c>
      <c r="BD247" s="40">
        <v>111</v>
      </c>
      <c r="BE247" s="37">
        <v>14.015151515151514</v>
      </c>
      <c r="BF247" s="40">
        <v>70</v>
      </c>
      <c r="BG247" s="37">
        <v>10.279001468428781</v>
      </c>
      <c r="BH247" s="38">
        <v>359</v>
      </c>
      <c r="BI247" s="38">
        <v>452</v>
      </c>
      <c r="BJ247" s="38">
        <v>229</v>
      </c>
      <c r="BK247" s="38">
        <v>223</v>
      </c>
      <c r="BL247" s="37">
        <v>79.424778761061944</v>
      </c>
      <c r="BM247" s="37">
        <v>81.222707423580786</v>
      </c>
      <c r="BN247" s="37">
        <v>77.578475336322867</v>
      </c>
      <c r="BO247" s="38">
        <v>531</v>
      </c>
      <c r="BP247" s="38">
        <v>280</v>
      </c>
      <c r="BQ247" s="38">
        <v>251</v>
      </c>
      <c r="BR247" s="37">
        <v>67.608286252354048</v>
      </c>
      <c r="BS247" s="37">
        <v>66.428571428571431</v>
      </c>
      <c r="BT247" s="37">
        <v>68.924302788844628</v>
      </c>
      <c r="BU247" s="2"/>
      <c r="BV247" s="2"/>
    </row>
    <row r="248" spans="1:74" ht="15.75" x14ac:dyDescent="0.3">
      <c r="A248" s="2" t="s">
        <v>54</v>
      </c>
      <c r="B248" s="2" t="s">
        <v>1393</v>
      </c>
      <c r="C248" s="2" t="s">
        <v>1856</v>
      </c>
      <c r="D248" s="2" t="s">
        <v>57</v>
      </c>
      <c r="E248" s="2" t="s">
        <v>58</v>
      </c>
      <c r="F248" s="2" t="s">
        <v>59</v>
      </c>
      <c r="G248" s="2" t="s">
        <v>60</v>
      </c>
      <c r="H248" s="2" t="s">
        <v>61</v>
      </c>
      <c r="I248" s="2" t="s">
        <v>122</v>
      </c>
      <c r="J248" s="2" t="s">
        <v>740</v>
      </c>
      <c r="K248" s="2" t="s">
        <v>159</v>
      </c>
      <c r="L248" s="2" t="s">
        <v>1432</v>
      </c>
      <c r="M248" s="2">
        <v>0</v>
      </c>
      <c r="N248" s="2" t="s">
        <v>1433</v>
      </c>
      <c r="O248" s="2" t="s">
        <v>1434</v>
      </c>
      <c r="P248" s="2" t="s">
        <v>80</v>
      </c>
      <c r="Q248" s="2" t="s">
        <v>69</v>
      </c>
      <c r="R248" s="2" t="s">
        <v>70</v>
      </c>
      <c r="S248" s="2" t="s">
        <v>1435</v>
      </c>
      <c r="T248" s="2" t="s">
        <v>1436</v>
      </c>
      <c r="U248" s="2" t="s">
        <v>1437</v>
      </c>
      <c r="V248" s="2" t="s">
        <v>1436</v>
      </c>
      <c r="W248" s="2" t="s">
        <v>113</v>
      </c>
      <c r="X248" s="38">
        <v>996</v>
      </c>
      <c r="Y248" s="38">
        <v>504</v>
      </c>
      <c r="Z248" s="38">
        <v>492</v>
      </c>
      <c r="AA248" s="38">
        <v>629</v>
      </c>
      <c r="AB248" s="38">
        <v>283</v>
      </c>
      <c r="AC248" s="38">
        <v>346</v>
      </c>
      <c r="AD248" s="38">
        <v>105</v>
      </c>
      <c r="AE248" s="38">
        <v>64</v>
      </c>
      <c r="AF248" s="38">
        <v>41</v>
      </c>
      <c r="AG248" s="38">
        <v>86</v>
      </c>
      <c r="AH248" s="38">
        <v>28</v>
      </c>
      <c r="AI248" s="38">
        <v>58</v>
      </c>
      <c r="AJ248" s="38">
        <v>262</v>
      </c>
      <c r="AK248" s="37">
        <v>26.305220883534137</v>
      </c>
      <c r="AL248" s="40">
        <f t="shared" si="12"/>
        <v>157</v>
      </c>
      <c r="AM248" s="37">
        <f t="shared" si="13"/>
        <v>31.150793650793652</v>
      </c>
      <c r="AN248" s="40">
        <f t="shared" si="14"/>
        <v>105</v>
      </c>
      <c r="AO248" s="37">
        <f t="shared" si="15"/>
        <v>21.341463414634145</v>
      </c>
      <c r="AP248" s="38">
        <v>1124</v>
      </c>
      <c r="AQ248" s="38">
        <v>585</v>
      </c>
      <c r="AR248" s="38">
        <v>539</v>
      </c>
      <c r="AS248" s="38">
        <v>458</v>
      </c>
      <c r="AT248" s="38">
        <v>234</v>
      </c>
      <c r="AU248" s="38">
        <v>224</v>
      </c>
      <c r="AV248" s="38">
        <v>282</v>
      </c>
      <c r="AW248" s="38">
        <v>133</v>
      </c>
      <c r="AX248" s="38">
        <v>149</v>
      </c>
      <c r="AY248" s="38">
        <v>1069</v>
      </c>
      <c r="AZ248" s="38">
        <v>571</v>
      </c>
      <c r="BA248" s="38">
        <v>498</v>
      </c>
      <c r="BB248" s="38">
        <v>121</v>
      </c>
      <c r="BC248" s="37">
        <v>11.318989710009355</v>
      </c>
      <c r="BD248" s="40">
        <v>87</v>
      </c>
      <c r="BE248" s="37">
        <v>15.236427320490368</v>
      </c>
      <c r="BF248" s="40">
        <v>34</v>
      </c>
      <c r="BG248" s="37">
        <v>6.8273092369477917</v>
      </c>
      <c r="BH248" s="38">
        <v>282</v>
      </c>
      <c r="BI248" s="38">
        <v>283</v>
      </c>
      <c r="BJ248" s="38">
        <v>141</v>
      </c>
      <c r="BK248" s="38">
        <v>142</v>
      </c>
      <c r="BL248" s="37">
        <v>99.646643109540634</v>
      </c>
      <c r="BM248" s="37">
        <v>94.326241134751783</v>
      </c>
      <c r="BN248" s="37">
        <v>104.92957746478872</v>
      </c>
      <c r="BO248" s="38">
        <v>381</v>
      </c>
      <c r="BP248" s="38">
        <v>204</v>
      </c>
      <c r="BQ248" s="38">
        <v>177</v>
      </c>
      <c r="BR248" s="37">
        <v>74.015748031496059</v>
      </c>
      <c r="BS248" s="37">
        <v>65.196078431372555</v>
      </c>
      <c r="BT248" s="37">
        <v>84.180790960451972</v>
      </c>
      <c r="BU248" s="2"/>
      <c r="BV248" s="2"/>
    </row>
    <row r="249" spans="1:74" ht="15.75" x14ac:dyDescent="0.3">
      <c r="A249" s="2" t="s">
        <v>54</v>
      </c>
      <c r="B249" s="2" t="s">
        <v>1393</v>
      </c>
      <c r="C249" s="2" t="s">
        <v>1858</v>
      </c>
      <c r="D249" s="2" t="s">
        <v>57</v>
      </c>
      <c r="E249" s="2" t="s">
        <v>95</v>
      </c>
      <c r="F249" s="2" t="s">
        <v>106</v>
      </c>
      <c r="G249" s="2" t="s">
        <v>149</v>
      </c>
      <c r="H249" s="2" t="s">
        <v>149</v>
      </c>
      <c r="I249" s="2" t="s">
        <v>178</v>
      </c>
      <c r="J249" s="2" t="s">
        <v>179</v>
      </c>
      <c r="K249" s="2" t="s">
        <v>1438</v>
      </c>
      <c r="L249" s="2" t="s">
        <v>1439</v>
      </c>
      <c r="M249" s="2">
        <v>0</v>
      </c>
      <c r="N249" s="2" t="s">
        <v>1440</v>
      </c>
      <c r="O249" s="2" t="s">
        <v>1441</v>
      </c>
      <c r="P249" s="2" t="s">
        <v>80</v>
      </c>
      <c r="Q249" s="2" t="s">
        <v>90</v>
      </c>
      <c r="R249" s="2" t="s">
        <v>91</v>
      </c>
      <c r="S249" s="2" t="s">
        <v>1442</v>
      </c>
      <c r="T249" s="2" t="s">
        <v>1443</v>
      </c>
      <c r="U249" s="2" t="s">
        <v>1444</v>
      </c>
      <c r="V249" s="2" t="s">
        <v>1443</v>
      </c>
      <c r="W249" s="2" t="s">
        <v>74</v>
      </c>
      <c r="X249" s="38">
        <v>632</v>
      </c>
      <c r="Y249" s="38">
        <v>266</v>
      </c>
      <c r="Z249" s="38">
        <v>366</v>
      </c>
      <c r="AA249" s="38">
        <v>392</v>
      </c>
      <c r="AB249" s="38">
        <v>149</v>
      </c>
      <c r="AC249" s="38">
        <v>243</v>
      </c>
      <c r="AD249" s="38">
        <v>130</v>
      </c>
      <c r="AE249" s="38">
        <v>62</v>
      </c>
      <c r="AF249" s="38">
        <v>68</v>
      </c>
      <c r="AG249" s="38">
        <v>175</v>
      </c>
      <c r="AH249" s="38">
        <v>61</v>
      </c>
      <c r="AI249" s="38">
        <v>114</v>
      </c>
      <c r="AJ249" s="38">
        <v>110</v>
      </c>
      <c r="AK249" s="37">
        <v>17.405063291139243</v>
      </c>
      <c r="AL249" s="40">
        <f t="shared" si="12"/>
        <v>55</v>
      </c>
      <c r="AM249" s="37">
        <f t="shared" si="13"/>
        <v>20.676691729323306</v>
      </c>
      <c r="AN249" s="40">
        <f t="shared" si="14"/>
        <v>55</v>
      </c>
      <c r="AO249" s="37">
        <f t="shared" si="15"/>
        <v>15.027322404371585</v>
      </c>
      <c r="AP249" s="38">
        <v>576</v>
      </c>
      <c r="AQ249" s="38">
        <v>296</v>
      </c>
      <c r="AR249" s="38">
        <v>280</v>
      </c>
      <c r="AS249" s="38">
        <v>330</v>
      </c>
      <c r="AT249" s="38">
        <v>183</v>
      </c>
      <c r="AU249" s="38">
        <v>147</v>
      </c>
      <c r="AV249" s="38">
        <v>188</v>
      </c>
      <c r="AW249" s="38">
        <v>69</v>
      </c>
      <c r="AX249" s="38">
        <v>119</v>
      </c>
      <c r="AY249" s="38">
        <v>658</v>
      </c>
      <c r="AZ249" s="38">
        <v>287</v>
      </c>
      <c r="BA249" s="38">
        <v>371</v>
      </c>
      <c r="BB249" s="38">
        <v>224</v>
      </c>
      <c r="BC249" s="37">
        <v>34.042553191489361</v>
      </c>
      <c r="BD249" s="40">
        <v>105</v>
      </c>
      <c r="BE249" s="37">
        <v>36.585365853658537</v>
      </c>
      <c r="BF249" s="40">
        <v>119</v>
      </c>
      <c r="BG249" s="37">
        <v>32.075471698113205</v>
      </c>
      <c r="BH249" s="38">
        <v>188</v>
      </c>
      <c r="BI249" s="38">
        <v>190</v>
      </c>
      <c r="BJ249" s="38">
        <v>70</v>
      </c>
      <c r="BK249" s="38">
        <v>120</v>
      </c>
      <c r="BL249" s="37">
        <v>98.94736842105263</v>
      </c>
      <c r="BM249" s="37">
        <v>98.571428571428584</v>
      </c>
      <c r="BN249" s="37">
        <v>99.166666666666671</v>
      </c>
      <c r="BO249" s="38">
        <v>268</v>
      </c>
      <c r="BP249" s="38">
        <v>109</v>
      </c>
      <c r="BQ249" s="38">
        <v>159</v>
      </c>
      <c r="BR249" s="37">
        <v>70.149253731343293</v>
      </c>
      <c r="BS249" s="37">
        <v>63.302752293577981</v>
      </c>
      <c r="BT249" s="37">
        <v>74.842767295597483</v>
      </c>
      <c r="BU249" s="2"/>
      <c r="BV249" s="2"/>
    </row>
    <row r="250" spans="1:74" ht="15.75" x14ac:dyDescent="0.3">
      <c r="A250" s="2" t="s">
        <v>54</v>
      </c>
      <c r="B250" s="2" t="s">
        <v>1393</v>
      </c>
      <c r="C250" s="2" t="s">
        <v>1858</v>
      </c>
      <c r="D250" s="2" t="s">
        <v>57</v>
      </c>
      <c r="E250" s="2" t="s">
        <v>95</v>
      </c>
      <c r="F250" s="2" t="s">
        <v>106</v>
      </c>
      <c r="G250" s="2" t="s">
        <v>149</v>
      </c>
      <c r="H250" s="2" t="s">
        <v>149</v>
      </c>
      <c r="I250" s="2" t="s">
        <v>178</v>
      </c>
      <c r="J250" s="2" t="s">
        <v>179</v>
      </c>
      <c r="K250" s="2" t="s">
        <v>1438</v>
      </c>
      <c r="L250" s="2" t="s">
        <v>1439</v>
      </c>
      <c r="M250" s="2">
        <v>0</v>
      </c>
      <c r="N250" s="2" t="s">
        <v>1440</v>
      </c>
      <c r="O250" s="2" t="s">
        <v>1441</v>
      </c>
      <c r="P250" s="2" t="s">
        <v>80</v>
      </c>
      <c r="Q250" s="2" t="s">
        <v>90</v>
      </c>
      <c r="R250" s="2" t="s">
        <v>91</v>
      </c>
      <c r="S250" s="2" t="s">
        <v>1442</v>
      </c>
      <c r="T250" s="2" t="s">
        <v>1443</v>
      </c>
      <c r="U250" s="2" t="s">
        <v>1444</v>
      </c>
      <c r="V250" s="2" t="s">
        <v>1443</v>
      </c>
      <c r="W250" s="2" t="s">
        <v>113</v>
      </c>
      <c r="X250" s="38">
        <v>185</v>
      </c>
      <c r="Y250" s="38">
        <v>145</v>
      </c>
      <c r="Z250" s="38">
        <v>40</v>
      </c>
      <c r="AA250" s="38">
        <v>107</v>
      </c>
      <c r="AB250" s="38">
        <v>87</v>
      </c>
      <c r="AC250" s="38">
        <v>20</v>
      </c>
      <c r="AD250" s="38">
        <v>43</v>
      </c>
      <c r="AE250" s="38">
        <v>34</v>
      </c>
      <c r="AF250" s="38">
        <v>9</v>
      </c>
      <c r="AG250" s="38">
        <v>49</v>
      </c>
      <c r="AH250" s="38">
        <v>40</v>
      </c>
      <c r="AI250" s="38">
        <v>9</v>
      </c>
      <c r="AJ250" s="38">
        <v>35</v>
      </c>
      <c r="AK250" s="37">
        <v>18.918918918918919</v>
      </c>
      <c r="AL250" s="40">
        <f t="shared" si="12"/>
        <v>24</v>
      </c>
      <c r="AM250" s="37">
        <f t="shared" si="13"/>
        <v>16.551724137931036</v>
      </c>
      <c r="AN250" s="40">
        <f t="shared" si="14"/>
        <v>11</v>
      </c>
      <c r="AO250" s="37">
        <f t="shared" si="15"/>
        <v>27.500000000000004</v>
      </c>
      <c r="AP250" s="38">
        <v>436</v>
      </c>
      <c r="AQ250" s="38">
        <v>232</v>
      </c>
      <c r="AR250" s="38">
        <v>204</v>
      </c>
      <c r="AS250" s="38">
        <v>87</v>
      </c>
      <c r="AT250" s="38">
        <v>51</v>
      </c>
      <c r="AU250" s="38">
        <v>36</v>
      </c>
      <c r="AV250" s="38">
        <v>53</v>
      </c>
      <c r="AW250" s="38">
        <v>44</v>
      </c>
      <c r="AX250" s="38">
        <v>9</v>
      </c>
      <c r="AY250" s="38">
        <v>236</v>
      </c>
      <c r="AZ250" s="38">
        <v>163</v>
      </c>
      <c r="BA250" s="38">
        <v>73</v>
      </c>
      <c r="BB250" s="38">
        <v>-166</v>
      </c>
      <c r="BC250" s="37">
        <v>-70.33898305084746</v>
      </c>
      <c r="BD250" s="40">
        <v>-62</v>
      </c>
      <c r="BE250" s="37">
        <v>-38.036809815950924</v>
      </c>
      <c r="BF250" s="40">
        <v>-104</v>
      </c>
      <c r="BG250" s="37">
        <v>-142.46575342465752</v>
      </c>
      <c r="BH250" s="38">
        <v>53</v>
      </c>
      <c r="BI250" s="38">
        <v>55</v>
      </c>
      <c r="BJ250" s="38">
        <v>46</v>
      </c>
      <c r="BK250" s="38">
        <v>9</v>
      </c>
      <c r="BL250" s="37">
        <v>96.36363636363636</v>
      </c>
      <c r="BM250" s="37">
        <v>95.652173913043484</v>
      </c>
      <c r="BN250" s="37">
        <v>100</v>
      </c>
      <c r="BO250" s="38">
        <v>89</v>
      </c>
      <c r="BP250" s="38">
        <v>72</v>
      </c>
      <c r="BQ250" s="38">
        <v>17</v>
      </c>
      <c r="BR250" s="37">
        <v>59.550561797752813</v>
      </c>
      <c r="BS250" s="37">
        <v>61.111111111111114</v>
      </c>
      <c r="BT250" s="37">
        <v>52.941176470588239</v>
      </c>
      <c r="BU250" s="2"/>
      <c r="BV250" s="2"/>
    </row>
    <row r="251" spans="1:74" ht="15.75" x14ac:dyDescent="0.3">
      <c r="A251" s="2" t="s">
        <v>54</v>
      </c>
      <c r="B251" s="2" t="s">
        <v>1393</v>
      </c>
      <c r="C251" s="2" t="s">
        <v>1858</v>
      </c>
      <c r="D251" s="2" t="s">
        <v>57</v>
      </c>
      <c r="E251" s="2" t="s">
        <v>95</v>
      </c>
      <c r="F251" s="2" t="s">
        <v>106</v>
      </c>
      <c r="G251" s="2" t="s">
        <v>60</v>
      </c>
      <c r="H251" s="2" t="s">
        <v>61</v>
      </c>
      <c r="I251" s="2" t="s">
        <v>62</v>
      </c>
      <c r="J251" s="2" t="s">
        <v>63</v>
      </c>
      <c r="K251" s="2" t="s">
        <v>1445</v>
      </c>
      <c r="L251" s="2" t="s">
        <v>1446</v>
      </c>
      <c r="M251" s="2">
        <v>2089</v>
      </c>
      <c r="N251" s="2" t="s">
        <v>1447</v>
      </c>
      <c r="O251" s="2" t="s">
        <v>1448</v>
      </c>
      <c r="P251" s="2" t="s">
        <v>80</v>
      </c>
      <c r="Q251" s="2" t="s">
        <v>69</v>
      </c>
      <c r="R251" s="2" t="s">
        <v>70</v>
      </c>
      <c r="S251" s="2" t="s">
        <v>1449</v>
      </c>
      <c r="T251" s="2" t="s">
        <v>1450</v>
      </c>
      <c r="U251" s="2" t="s">
        <v>1451</v>
      </c>
      <c r="V251" s="2" t="s">
        <v>1450</v>
      </c>
      <c r="W251" s="2" t="s">
        <v>74</v>
      </c>
      <c r="X251" s="38">
        <v>731</v>
      </c>
      <c r="Y251" s="38">
        <v>431</v>
      </c>
      <c r="Z251" s="38">
        <v>300</v>
      </c>
      <c r="AA251" s="38">
        <v>427</v>
      </c>
      <c r="AB251" s="38">
        <v>229</v>
      </c>
      <c r="AC251" s="38">
        <v>198</v>
      </c>
      <c r="AD251" s="38">
        <v>125</v>
      </c>
      <c r="AE251" s="38">
        <v>73</v>
      </c>
      <c r="AF251" s="38">
        <v>52</v>
      </c>
      <c r="AG251" s="38">
        <v>140</v>
      </c>
      <c r="AH251" s="38">
        <v>68</v>
      </c>
      <c r="AI251" s="38">
        <v>72</v>
      </c>
      <c r="AJ251" s="38">
        <v>179</v>
      </c>
      <c r="AK251" s="37">
        <v>24.48700410396717</v>
      </c>
      <c r="AL251" s="40">
        <f t="shared" si="12"/>
        <v>129</v>
      </c>
      <c r="AM251" s="37">
        <f t="shared" si="13"/>
        <v>29.930394431554525</v>
      </c>
      <c r="AN251" s="40">
        <f t="shared" si="14"/>
        <v>50</v>
      </c>
      <c r="AO251" s="37">
        <f t="shared" si="15"/>
        <v>16.666666666666664</v>
      </c>
      <c r="AP251" s="38">
        <v>837</v>
      </c>
      <c r="AQ251" s="38">
        <v>493</v>
      </c>
      <c r="AR251" s="38">
        <v>344</v>
      </c>
      <c r="AS251" s="38">
        <v>293</v>
      </c>
      <c r="AT251" s="38">
        <v>189</v>
      </c>
      <c r="AU251" s="38">
        <v>104</v>
      </c>
      <c r="AV251" s="38">
        <v>184</v>
      </c>
      <c r="AW251" s="38">
        <v>102</v>
      </c>
      <c r="AX251" s="38">
        <v>82</v>
      </c>
      <c r="AY251" s="38">
        <v>774</v>
      </c>
      <c r="AZ251" s="38">
        <v>455</v>
      </c>
      <c r="BA251" s="38">
        <v>319</v>
      </c>
      <c r="BB251" s="38">
        <v>46</v>
      </c>
      <c r="BC251" s="37">
        <v>5.9431524547803614</v>
      </c>
      <c r="BD251" s="40">
        <v>49</v>
      </c>
      <c r="BE251" s="37">
        <v>10.76923076923077</v>
      </c>
      <c r="BF251" s="40">
        <v>-3</v>
      </c>
      <c r="BG251" s="37">
        <v>-0.94043887147335425</v>
      </c>
      <c r="BH251" s="38">
        <v>184</v>
      </c>
      <c r="BI251" s="38">
        <v>200</v>
      </c>
      <c r="BJ251" s="38">
        <v>112</v>
      </c>
      <c r="BK251" s="38">
        <v>88</v>
      </c>
      <c r="BL251" s="37">
        <v>92</v>
      </c>
      <c r="BM251" s="37">
        <v>91.071428571428569</v>
      </c>
      <c r="BN251" s="37">
        <v>93.181818181818173</v>
      </c>
      <c r="BO251" s="38">
        <v>357</v>
      </c>
      <c r="BP251" s="38">
        <v>222</v>
      </c>
      <c r="BQ251" s="38">
        <v>135</v>
      </c>
      <c r="BR251" s="37">
        <v>51.540616246498594</v>
      </c>
      <c r="BS251" s="37">
        <v>45.945945945945951</v>
      </c>
      <c r="BT251" s="37">
        <v>60.74074074074074</v>
      </c>
      <c r="BU251" s="2"/>
      <c r="BV251" s="2"/>
    </row>
    <row r="252" spans="1:74" ht="15.75" x14ac:dyDescent="0.3">
      <c r="A252" s="2" t="s">
        <v>54</v>
      </c>
      <c r="B252" s="2" t="s">
        <v>1393</v>
      </c>
      <c r="C252" s="2" t="s">
        <v>1858</v>
      </c>
      <c r="D252" s="2" t="s">
        <v>57</v>
      </c>
      <c r="E252" s="2" t="s">
        <v>95</v>
      </c>
      <c r="F252" s="2" t="s">
        <v>106</v>
      </c>
      <c r="G252" s="2" t="s">
        <v>60</v>
      </c>
      <c r="H252" s="2" t="s">
        <v>61</v>
      </c>
      <c r="I252" s="2" t="s">
        <v>62</v>
      </c>
      <c r="J252" s="2" t="s">
        <v>63</v>
      </c>
      <c r="K252" s="2" t="s">
        <v>1445</v>
      </c>
      <c r="L252" s="2" t="s">
        <v>1446</v>
      </c>
      <c r="M252" s="2">
        <v>2089</v>
      </c>
      <c r="N252" s="2" t="s">
        <v>1447</v>
      </c>
      <c r="O252" s="2" t="s">
        <v>1448</v>
      </c>
      <c r="P252" s="2" t="s">
        <v>80</v>
      </c>
      <c r="Q252" s="2" t="s">
        <v>69</v>
      </c>
      <c r="R252" s="2" t="s">
        <v>70</v>
      </c>
      <c r="S252" s="2" t="s">
        <v>1449</v>
      </c>
      <c r="T252" s="2" t="s">
        <v>1450</v>
      </c>
      <c r="U252" s="2" t="s">
        <v>1451</v>
      </c>
      <c r="V252" s="2" t="s">
        <v>1450</v>
      </c>
      <c r="W252" s="2" t="s">
        <v>113</v>
      </c>
      <c r="X252" s="38">
        <v>620</v>
      </c>
      <c r="Y252" s="38">
        <v>322</v>
      </c>
      <c r="Z252" s="38">
        <v>298</v>
      </c>
      <c r="AA252" s="38">
        <v>245</v>
      </c>
      <c r="AB252" s="38">
        <v>116</v>
      </c>
      <c r="AC252" s="38">
        <v>129</v>
      </c>
      <c r="AD252" s="38">
        <v>122</v>
      </c>
      <c r="AE252" s="38">
        <v>69</v>
      </c>
      <c r="AF252" s="38">
        <v>53</v>
      </c>
      <c r="AG252" s="38">
        <v>155</v>
      </c>
      <c r="AH252" s="38">
        <v>83</v>
      </c>
      <c r="AI252" s="38">
        <v>72</v>
      </c>
      <c r="AJ252" s="38">
        <v>253</v>
      </c>
      <c r="AK252" s="37">
        <v>40.806451612903224</v>
      </c>
      <c r="AL252" s="40">
        <f t="shared" si="12"/>
        <v>137</v>
      </c>
      <c r="AM252" s="37">
        <f t="shared" si="13"/>
        <v>42.546583850931682</v>
      </c>
      <c r="AN252" s="40">
        <f t="shared" si="14"/>
        <v>116</v>
      </c>
      <c r="AO252" s="37">
        <f t="shared" si="15"/>
        <v>38.926174496644293</v>
      </c>
      <c r="AP252" s="38">
        <v>708</v>
      </c>
      <c r="AQ252" s="38">
        <v>390</v>
      </c>
      <c r="AR252" s="38">
        <v>318</v>
      </c>
      <c r="AS252" s="38">
        <v>339</v>
      </c>
      <c r="AT252" s="38">
        <v>187</v>
      </c>
      <c r="AU252" s="38">
        <v>152</v>
      </c>
      <c r="AV252" s="38">
        <v>120</v>
      </c>
      <c r="AW252" s="38">
        <v>61</v>
      </c>
      <c r="AX252" s="38">
        <v>59</v>
      </c>
      <c r="AY252" s="38">
        <v>686</v>
      </c>
      <c r="AZ252" s="38">
        <v>371</v>
      </c>
      <c r="BA252" s="38">
        <v>315</v>
      </c>
      <c r="BB252" s="38">
        <v>197</v>
      </c>
      <c r="BC252" s="37">
        <v>28.717201166180757</v>
      </c>
      <c r="BD252" s="40">
        <v>107</v>
      </c>
      <c r="BE252" s="37">
        <v>28.840970350404309</v>
      </c>
      <c r="BF252" s="40">
        <v>90</v>
      </c>
      <c r="BG252" s="37">
        <v>28.571428571428569</v>
      </c>
      <c r="BH252" s="38">
        <v>120</v>
      </c>
      <c r="BI252" s="38">
        <v>148</v>
      </c>
      <c r="BJ252" s="38">
        <v>78</v>
      </c>
      <c r="BK252" s="38">
        <v>70</v>
      </c>
      <c r="BL252" s="37">
        <v>81.081081081081081</v>
      </c>
      <c r="BM252" s="37">
        <v>78.205128205128204</v>
      </c>
      <c r="BN252" s="37">
        <v>84.285714285714292</v>
      </c>
      <c r="BO252" s="38">
        <v>283</v>
      </c>
      <c r="BP252" s="38">
        <v>162</v>
      </c>
      <c r="BQ252" s="38">
        <v>121</v>
      </c>
      <c r="BR252" s="37">
        <v>42.402826855123678</v>
      </c>
      <c r="BS252" s="37">
        <v>37.654320987654323</v>
      </c>
      <c r="BT252" s="37">
        <v>48.760330578512395</v>
      </c>
      <c r="BU252" s="2"/>
      <c r="BV252" s="2"/>
    </row>
    <row r="253" spans="1:74" ht="15.75" x14ac:dyDescent="0.3">
      <c r="A253" s="2" t="s">
        <v>54</v>
      </c>
      <c r="B253" s="2" t="s">
        <v>1393</v>
      </c>
      <c r="C253" s="2" t="s">
        <v>1858</v>
      </c>
      <c r="D253" s="2" t="s">
        <v>57</v>
      </c>
      <c r="E253" s="2" t="s">
        <v>95</v>
      </c>
      <c r="F253" s="2" t="s">
        <v>106</v>
      </c>
      <c r="G253" s="2" t="s">
        <v>60</v>
      </c>
      <c r="H253" s="2" t="s">
        <v>61</v>
      </c>
      <c r="I253" s="2" t="s">
        <v>114</v>
      </c>
      <c r="J253" s="2" t="s">
        <v>114</v>
      </c>
      <c r="K253" s="2" t="s">
        <v>1452</v>
      </c>
      <c r="L253" s="2" t="s">
        <v>116</v>
      </c>
      <c r="M253" s="2">
        <v>423</v>
      </c>
      <c r="N253" s="2" t="s">
        <v>1453</v>
      </c>
      <c r="O253" s="2" t="s">
        <v>1454</v>
      </c>
      <c r="P253" s="2" t="s">
        <v>80</v>
      </c>
      <c r="Q253" s="2" t="s">
        <v>90</v>
      </c>
      <c r="R253" s="2" t="s">
        <v>91</v>
      </c>
      <c r="S253" s="2" t="s">
        <v>1455</v>
      </c>
      <c r="T253" s="2" t="s">
        <v>1456</v>
      </c>
      <c r="U253" s="2" t="s">
        <v>1457</v>
      </c>
      <c r="V253" s="2" t="s">
        <v>1456</v>
      </c>
      <c r="W253" s="2" t="s">
        <v>74</v>
      </c>
      <c r="X253" s="38">
        <v>416</v>
      </c>
      <c r="Y253" s="38">
        <v>194</v>
      </c>
      <c r="Z253" s="38">
        <v>222</v>
      </c>
      <c r="AA253" s="38">
        <v>222</v>
      </c>
      <c r="AB253" s="38">
        <v>89</v>
      </c>
      <c r="AC253" s="38">
        <v>133</v>
      </c>
      <c r="AD253" s="38">
        <v>114</v>
      </c>
      <c r="AE253" s="38">
        <v>52</v>
      </c>
      <c r="AF253" s="38">
        <v>62</v>
      </c>
      <c r="AG253" s="38">
        <v>99</v>
      </c>
      <c r="AH253" s="38">
        <v>39</v>
      </c>
      <c r="AI253" s="38">
        <v>60</v>
      </c>
      <c r="AJ253" s="38">
        <v>80</v>
      </c>
      <c r="AK253" s="37">
        <v>19.230769230769234</v>
      </c>
      <c r="AL253" s="40">
        <f t="shared" si="12"/>
        <v>53</v>
      </c>
      <c r="AM253" s="37">
        <f t="shared" si="13"/>
        <v>27.319587628865978</v>
      </c>
      <c r="AN253" s="40">
        <f t="shared" si="14"/>
        <v>27</v>
      </c>
      <c r="AO253" s="37">
        <f t="shared" si="15"/>
        <v>12.162162162162163</v>
      </c>
      <c r="AP253" s="38">
        <v>482</v>
      </c>
      <c r="AQ253" s="38">
        <v>238</v>
      </c>
      <c r="AR253" s="38">
        <v>244</v>
      </c>
      <c r="AS253" s="38">
        <v>188</v>
      </c>
      <c r="AT253" s="38">
        <v>99</v>
      </c>
      <c r="AU253" s="38">
        <v>89</v>
      </c>
      <c r="AV253" s="38">
        <v>99</v>
      </c>
      <c r="AW253" s="38">
        <v>39</v>
      </c>
      <c r="AX253" s="38">
        <v>60</v>
      </c>
      <c r="AY253" s="38">
        <v>423</v>
      </c>
      <c r="AZ253" s="38">
        <v>193</v>
      </c>
      <c r="BA253" s="38">
        <v>230</v>
      </c>
      <c r="BB253" s="38">
        <v>30</v>
      </c>
      <c r="BC253" s="37">
        <v>7.0921985815602842</v>
      </c>
      <c r="BD253" s="40">
        <v>15</v>
      </c>
      <c r="BE253" s="37">
        <v>7.7720207253886011</v>
      </c>
      <c r="BF253" s="40">
        <v>15</v>
      </c>
      <c r="BG253" s="37">
        <v>6.5217391304347823</v>
      </c>
      <c r="BH253" s="38">
        <v>99</v>
      </c>
      <c r="BI253" s="38">
        <v>100</v>
      </c>
      <c r="BJ253" s="38">
        <v>39</v>
      </c>
      <c r="BK253" s="38">
        <v>61</v>
      </c>
      <c r="BL253" s="37">
        <v>99</v>
      </c>
      <c r="BM253" s="37">
        <v>100</v>
      </c>
      <c r="BN253" s="37">
        <v>98.360655737704917</v>
      </c>
      <c r="BO253" s="38">
        <v>165</v>
      </c>
      <c r="BP253" s="38">
        <v>74</v>
      </c>
      <c r="BQ253" s="38">
        <v>91</v>
      </c>
      <c r="BR253" s="37">
        <v>60</v>
      </c>
      <c r="BS253" s="37">
        <v>52.702702702702695</v>
      </c>
      <c r="BT253" s="37">
        <v>65.934065934065927</v>
      </c>
      <c r="BU253" s="2"/>
      <c r="BV253" s="2"/>
    </row>
    <row r="254" spans="1:74" ht="15.75" x14ac:dyDescent="0.3">
      <c r="A254" s="2" t="s">
        <v>54</v>
      </c>
      <c r="B254" s="2" t="s">
        <v>1393</v>
      </c>
      <c r="C254" s="2" t="s">
        <v>1858</v>
      </c>
      <c r="D254" s="2" t="s">
        <v>57</v>
      </c>
      <c r="E254" s="2" t="s">
        <v>95</v>
      </c>
      <c r="F254" s="2" t="s">
        <v>106</v>
      </c>
      <c r="G254" s="2" t="s">
        <v>60</v>
      </c>
      <c r="H254" s="2" t="s">
        <v>187</v>
      </c>
      <c r="I254" s="2" t="s">
        <v>157</v>
      </c>
      <c r="J254" s="2" t="s">
        <v>334</v>
      </c>
      <c r="K254" s="2" t="s">
        <v>76</v>
      </c>
      <c r="L254" s="2" t="s">
        <v>1458</v>
      </c>
      <c r="M254" s="2">
        <v>0</v>
      </c>
      <c r="N254" s="2" t="s">
        <v>1459</v>
      </c>
      <c r="O254" s="2" t="s">
        <v>1460</v>
      </c>
      <c r="P254" s="2" t="s">
        <v>935</v>
      </c>
      <c r="Q254" s="2" t="s">
        <v>69</v>
      </c>
      <c r="R254" s="2" t="s">
        <v>70</v>
      </c>
      <c r="S254" s="2" t="s">
        <v>1461</v>
      </c>
      <c r="T254" s="2" t="s">
        <v>1462</v>
      </c>
      <c r="U254" s="2" t="s">
        <v>1463</v>
      </c>
      <c r="V254" s="2" t="s">
        <v>1462</v>
      </c>
      <c r="W254" s="2" t="s">
        <v>74</v>
      </c>
      <c r="X254" s="38">
        <v>544</v>
      </c>
      <c r="Y254" s="38">
        <v>336</v>
      </c>
      <c r="Z254" s="38">
        <v>208</v>
      </c>
      <c r="AA254" s="38">
        <v>289</v>
      </c>
      <c r="AB254" s="38">
        <v>155</v>
      </c>
      <c r="AC254" s="38">
        <v>134</v>
      </c>
      <c r="AD254" s="38">
        <v>161</v>
      </c>
      <c r="AE254" s="38">
        <v>112</v>
      </c>
      <c r="AF254" s="38">
        <v>49</v>
      </c>
      <c r="AG254" s="38">
        <v>0</v>
      </c>
      <c r="AH254" s="38">
        <v>0</v>
      </c>
      <c r="AI254" s="38">
        <v>0</v>
      </c>
      <c r="AJ254" s="38">
        <v>94</v>
      </c>
      <c r="AK254" s="37">
        <v>17.27941176470588</v>
      </c>
      <c r="AL254" s="40">
        <f t="shared" si="12"/>
        <v>69</v>
      </c>
      <c r="AM254" s="37">
        <f t="shared" si="13"/>
        <v>20.535714285714285</v>
      </c>
      <c r="AN254" s="40">
        <f t="shared" si="14"/>
        <v>25</v>
      </c>
      <c r="AO254" s="37">
        <f t="shared" si="15"/>
        <v>12.01923076923077</v>
      </c>
      <c r="AP254" s="38">
        <v>622</v>
      </c>
      <c r="AQ254" s="38">
        <v>381</v>
      </c>
      <c r="AR254" s="38">
        <v>241</v>
      </c>
      <c r="AS254" s="38">
        <v>331</v>
      </c>
      <c r="AT254" s="38">
        <v>206</v>
      </c>
      <c r="AU254" s="38">
        <v>125</v>
      </c>
      <c r="AV254" s="38">
        <v>0</v>
      </c>
      <c r="AW254" s="38">
        <v>0</v>
      </c>
      <c r="AX254" s="38">
        <v>0</v>
      </c>
      <c r="AY254" s="38">
        <v>555</v>
      </c>
      <c r="AZ254" s="38">
        <v>344</v>
      </c>
      <c r="BA254" s="38">
        <v>211</v>
      </c>
      <c r="BB254" s="38">
        <v>264</v>
      </c>
      <c r="BC254" s="37">
        <v>47.567567567567572</v>
      </c>
      <c r="BD254" s="40">
        <v>169</v>
      </c>
      <c r="BE254" s="37">
        <v>49.127906976744185</v>
      </c>
      <c r="BF254" s="40">
        <v>95</v>
      </c>
      <c r="BG254" s="37">
        <v>45.023696682464454</v>
      </c>
      <c r="BH254" s="38">
        <v>0</v>
      </c>
      <c r="BI254" s="38">
        <v>0</v>
      </c>
      <c r="BJ254" s="38">
        <v>0</v>
      </c>
      <c r="BK254" s="38">
        <v>0</v>
      </c>
      <c r="BL254" s="42" t="s">
        <v>1860</v>
      </c>
      <c r="BM254" s="37" t="s">
        <v>1860</v>
      </c>
      <c r="BN254" s="37" t="s">
        <v>1860</v>
      </c>
      <c r="BO254" s="38">
        <v>278</v>
      </c>
      <c r="BP254" s="38">
        <v>173</v>
      </c>
      <c r="BQ254" s="38">
        <v>105</v>
      </c>
      <c r="BR254" s="37">
        <v>0</v>
      </c>
      <c r="BS254" s="37">
        <v>0</v>
      </c>
      <c r="BT254" s="37">
        <v>0</v>
      </c>
      <c r="BU254" s="2"/>
      <c r="BV254" s="2"/>
    </row>
    <row r="255" spans="1:74" ht="15.75" x14ac:dyDescent="0.3">
      <c r="A255" s="2" t="s">
        <v>54</v>
      </c>
      <c r="B255" s="2" t="s">
        <v>1393</v>
      </c>
      <c r="C255" s="2" t="s">
        <v>1858</v>
      </c>
      <c r="D255" s="2" t="s">
        <v>57</v>
      </c>
      <c r="E255" s="2" t="s">
        <v>95</v>
      </c>
      <c r="F255" s="2" t="s">
        <v>106</v>
      </c>
      <c r="G255" s="2" t="s">
        <v>60</v>
      </c>
      <c r="H255" s="2" t="s">
        <v>187</v>
      </c>
      <c r="I255" s="2" t="s">
        <v>157</v>
      </c>
      <c r="J255" s="2" t="s">
        <v>334</v>
      </c>
      <c r="K255" s="2" t="s">
        <v>76</v>
      </c>
      <c r="L255" s="2" t="s">
        <v>1458</v>
      </c>
      <c r="M255" s="2">
        <v>0</v>
      </c>
      <c r="N255" s="2" t="s">
        <v>1459</v>
      </c>
      <c r="O255" s="2" t="s">
        <v>1460</v>
      </c>
      <c r="P255" s="2" t="s">
        <v>935</v>
      </c>
      <c r="Q255" s="2" t="s">
        <v>69</v>
      </c>
      <c r="R255" s="2" t="s">
        <v>70</v>
      </c>
      <c r="S255" s="2" t="s">
        <v>1461</v>
      </c>
      <c r="T255" s="2" t="s">
        <v>1462</v>
      </c>
      <c r="U255" s="2" t="s">
        <v>1463</v>
      </c>
      <c r="V255" s="2" t="s">
        <v>1462</v>
      </c>
      <c r="W255" s="2" t="s">
        <v>113</v>
      </c>
      <c r="X255" s="38">
        <v>181</v>
      </c>
      <c r="Y255" s="38">
        <v>111</v>
      </c>
      <c r="Z255" s="38">
        <v>70</v>
      </c>
      <c r="AA255" s="38">
        <v>148</v>
      </c>
      <c r="AB255" s="38">
        <v>84</v>
      </c>
      <c r="AC255" s="38">
        <v>64</v>
      </c>
      <c r="AD255" s="38">
        <v>24</v>
      </c>
      <c r="AE255" s="38">
        <v>19</v>
      </c>
      <c r="AF255" s="38">
        <v>5</v>
      </c>
      <c r="AG255" s="38">
        <v>160</v>
      </c>
      <c r="AH255" s="38">
        <v>95</v>
      </c>
      <c r="AI255" s="38">
        <v>65</v>
      </c>
      <c r="AJ255" s="38">
        <v>9</v>
      </c>
      <c r="AK255" s="37">
        <v>4.972375690607735</v>
      </c>
      <c r="AL255" s="40">
        <f t="shared" si="12"/>
        <v>8</v>
      </c>
      <c r="AM255" s="37">
        <f t="shared" si="13"/>
        <v>7.2072072072072073</v>
      </c>
      <c r="AN255" s="40">
        <f t="shared" si="14"/>
        <v>1</v>
      </c>
      <c r="AO255" s="37">
        <f t="shared" si="15"/>
        <v>1.4285714285714286</v>
      </c>
      <c r="AP255" s="38">
        <v>209</v>
      </c>
      <c r="AQ255" s="38">
        <v>124</v>
      </c>
      <c r="AR255" s="38">
        <v>85</v>
      </c>
      <c r="AS255" s="38">
        <v>0</v>
      </c>
      <c r="AT255" s="38">
        <v>0</v>
      </c>
      <c r="AU255" s="38">
        <v>0</v>
      </c>
      <c r="AV255" s="38">
        <v>166</v>
      </c>
      <c r="AW255" s="38">
        <v>98</v>
      </c>
      <c r="AX255" s="38">
        <v>68</v>
      </c>
      <c r="AY255" s="38">
        <v>186</v>
      </c>
      <c r="AZ255" s="38">
        <v>114</v>
      </c>
      <c r="BA255" s="38">
        <v>72</v>
      </c>
      <c r="BB255" s="38">
        <v>-189</v>
      </c>
      <c r="BC255" s="37">
        <v>-101.61290322580645</v>
      </c>
      <c r="BD255" s="40">
        <v>-108</v>
      </c>
      <c r="BE255" s="37">
        <v>-94.73684210526315</v>
      </c>
      <c r="BF255" s="40">
        <v>-81</v>
      </c>
      <c r="BG255" s="37">
        <v>-112.5</v>
      </c>
      <c r="BH255" s="38">
        <v>166</v>
      </c>
      <c r="BI255" s="38">
        <v>186</v>
      </c>
      <c r="BJ255" s="38">
        <v>114</v>
      </c>
      <c r="BK255" s="38">
        <v>72</v>
      </c>
      <c r="BL255" s="37">
        <v>89.247311827956992</v>
      </c>
      <c r="BM255" s="37">
        <v>85.964912280701753</v>
      </c>
      <c r="BN255" s="37">
        <v>94.444444444444443</v>
      </c>
      <c r="BO255" s="38">
        <v>0</v>
      </c>
      <c r="BP255" s="38">
        <v>0</v>
      </c>
      <c r="BQ255" s="38">
        <v>0</v>
      </c>
      <c r="BR255" s="37" t="s">
        <v>1860</v>
      </c>
      <c r="BS255" s="37" t="s">
        <v>1860</v>
      </c>
      <c r="BT255" s="37" t="s">
        <v>1860</v>
      </c>
      <c r="BU255" s="2"/>
      <c r="BV255" s="2"/>
    </row>
    <row r="256" spans="1:74" ht="15.75" x14ac:dyDescent="0.3">
      <c r="A256" s="2" t="s">
        <v>54</v>
      </c>
      <c r="B256" s="2" t="s">
        <v>1393</v>
      </c>
      <c r="C256" s="2" t="s">
        <v>1858</v>
      </c>
      <c r="D256" s="2" t="s">
        <v>57</v>
      </c>
      <c r="E256" s="2" t="s">
        <v>95</v>
      </c>
      <c r="F256" s="2" t="s">
        <v>106</v>
      </c>
      <c r="G256" s="2" t="s">
        <v>60</v>
      </c>
      <c r="H256" s="2" t="s">
        <v>61</v>
      </c>
      <c r="I256" s="2" t="s">
        <v>62</v>
      </c>
      <c r="J256" s="2" t="s">
        <v>63</v>
      </c>
      <c r="K256" s="2" t="s">
        <v>1464</v>
      </c>
      <c r="L256" s="2" t="s">
        <v>1465</v>
      </c>
      <c r="M256" s="2">
        <v>0</v>
      </c>
      <c r="N256" s="2" t="s">
        <v>1466</v>
      </c>
      <c r="O256" s="2" t="s">
        <v>1467</v>
      </c>
      <c r="P256" s="2" t="s">
        <v>935</v>
      </c>
      <c r="Q256" s="2" t="s">
        <v>69</v>
      </c>
      <c r="R256" s="2" t="s">
        <v>70</v>
      </c>
      <c r="S256" s="2" t="s">
        <v>1468</v>
      </c>
      <c r="T256" s="2" t="s">
        <v>1469</v>
      </c>
      <c r="U256" s="2" t="s">
        <v>1470</v>
      </c>
      <c r="V256" s="2" t="s">
        <v>1469</v>
      </c>
      <c r="W256" s="2" t="s">
        <v>74</v>
      </c>
      <c r="X256" s="38">
        <v>229</v>
      </c>
      <c r="Y256" s="38">
        <v>178</v>
      </c>
      <c r="Z256" s="38">
        <v>51</v>
      </c>
      <c r="AA256" s="38">
        <v>112</v>
      </c>
      <c r="AB256" s="38">
        <v>81</v>
      </c>
      <c r="AC256" s="38">
        <v>31</v>
      </c>
      <c r="AD256" s="38">
        <v>108</v>
      </c>
      <c r="AE256" s="38">
        <v>91</v>
      </c>
      <c r="AF256" s="38">
        <v>17</v>
      </c>
      <c r="AG256" s="38">
        <v>0</v>
      </c>
      <c r="AH256" s="38">
        <v>0</v>
      </c>
      <c r="AI256" s="38">
        <v>0</v>
      </c>
      <c r="AJ256" s="38">
        <v>9</v>
      </c>
      <c r="AK256" s="37">
        <v>3.9301310043668125</v>
      </c>
      <c r="AL256" s="40">
        <f t="shared" si="12"/>
        <v>6</v>
      </c>
      <c r="AM256" s="37">
        <f t="shared" si="13"/>
        <v>3.3707865168539324</v>
      </c>
      <c r="AN256" s="40">
        <f t="shared" si="14"/>
        <v>3</v>
      </c>
      <c r="AO256" s="37">
        <f t="shared" si="15"/>
        <v>5.8823529411764701</v>
      </c>
      <c r="AP256" s="38">
        <v>331</v>
      </c>
      <c r="AQ256" s="38">
        <v>264</v>
      </c>
      <c r="AR256" s="38">
        <v>67</v>
      </c>
      <c r="AS256" s="38">
        <v>186</v>
      </c>
      <c r="AT256" s="38">
        <v>152</v>
      </c>
      <c r="AU256" s="38">
        <v>34</v>
      </c>
      <c r="AV256" s="38">
        <v>40</v>
      </c>
      <c r="AW256" s="38">
        <v>26</v>
      </c>
      <c r="AX256" s="38">
        <v>14</v>
      </c>
      <c r="AY256" s="38">
        <v>252</v>
      </c>
      <c r="AZ256" s="38">
        <v>200</v>
      </c>
      <c r="BA256" s="38">
        <v>52</v>
      </c>
      <c r="BB256" s="38">
        <v>67</v>
      </c>
      <c r="BC256" s="37">
        <v>26.587301587301589</v>
      </c>
      <c r="BD256" s="40">
        <v>62</v>
      </c>
      <c r="BE256" s="37">
        <v>31</v>
      </c>
      <c r="BF256" s="40">
        <v>5</v>
      </c>
      <c r="BG256" s="37">
        <v>9.6153846153846168</v>
      </c>
      <c r="BH256" s="38">
        <v>40</v>
      </c>
      <c r="BI256" s="38">
        <v>0</v>
      </c>
      <c r="BJ256" s="38">
        <v>0</v>
      </c>
      <c r="BK256" s="38">
        <v>0</v>
      </c>
      <c r="BL256" s="42" t="s">
        <v>1860</v>
      </c>
      <c r="BM256" s="37" t="s">
        <v>1860</v>
      </c>
      <c r="BN256" s="37" t="s">
        <v>1860</v>
      </c>
      <c r="BO256" s="38">
        <v>90</v>
      </c>
      <c r="BP256" s="38">
        <v>54</v>
      </c>
      <c r="BQ256" s="38">
        <v>36</v>
      </c>
      <c r="BR256" s="37">
        <v>44.444444444444443</v>
      </c>
      <c r="BS256" s="37">
        <v>48.148148148148145</v>
      </c>
      <c r="BT256" s="37">
        <v>38.888888888888893</v>
      </c>
      <c r="BU256" s="2"/>
      <c r="BV256" s="2"/>
    </row>
    <row r="257" spans="1:74" ht="15.75" x14ac:dyDescent="0.3">
      <c r="A257" s="2" t="s">
        <v>54</v>
      </c>
      <c r="B257" s="2" t="s">
        <v>1393</v>
      </c>
      <c r="C257" s="2" t="s">
        <v>1856</v>
      </c>
      <c r="D257" s="2" t="s">
        <v>57</v>
      </c>
      <c r="E257" s="2" t="s">
        <v>58</v>
      </c>
      <c r="F257" s="2" t="s">
        <v>59</v>
      </c>
      <c r="G257" s="2" t="s">
        <v>60</v>
      </c>
      <c r="H257" s="2" t="s">
        <v>61</v>
      </c>
      <c r="I257" s="2" t="s">
        <v>178</v>
      </c>
      <c r="J257" s="2" t="s">
        <v>1471</v>
      </c>
      <c r="K257" s="2" t="s">
        <v>76</v>
      </c>
      <c r="L257" s="2" t="s">
        <v>1472</v>
      </c>
      <c r="M257" s="2">
        <v>48</v>
      </c>
      <c r="N257" s="2" t="s">
        <v>1473</v>
      </c>
      <c r="O257" s="2" t="s">
        <v>1474</v>
      </c>
      <c r="P257" s="2" t="s">
        <v>80</v>
      </c>
      <c r="Q257" s="2" t="s">
        <v>90</v>
      </c>
      <c r="R257" s="2" t="s">
        <v>91</v>
      </c>
      <c r="S257" s="2" t="s">
        <v>1475</v>
      </c>
      <c r="T257" s="2" t="s">
        <v>1476</v>
      </c>
      <c r="U257" s="2" t="s">
        <v>1477</v>
      </c>
      <c r="V257" s="2" t="s">
        <v>1476</v>
      </c>
      <c r="W257" s="2" t="s">
        <v>74</v>
      </c>
      <c r="X257" s="38">
        <v>83</v>
      </c>
      <c r="Y257" s="38">
        <v>45</v>
      </c>
      <c r="Z257" s="38">
        <v>38</v>
      </c>
      <c r="AA257" s="38">
        <v>60</v>
      </c>
      <c r="AB257" s="38">
        <v>30</v>
      </c>
      <c r="AC257" s="38">
        <v>30</v>
      </c>
      <c r="AD257" s="38">
        <v>18</v>
      </c>
      <c r="AE257" s="38">
        <v>13</v>
      </c>
      <c r="AF257" s="38">
        <v>5</v>
      </c>
      <c r="AG257" s="38">
        <v>0</v>
      </c>
      <c r="AH257" s="38">
        <v>0</v>
      </c>
      <c r="AI257" s="38">
        <v>0</v>
      </c>
      <c r="AJ257" s="38">
        <v>5</v>
      </c>
      <c r="AK257" s="37">
        <v>6.024096385542169</v>
      </c>
      <c r="AL257" s="40">
        <f t="shared" si="12"/>
        <v>2</v>
      </c>
      <c r="AM257" s="37">
        <f t="shared" si="13"/>
        <v>4.4444444444444446</v>
      </c>
      <c r="AN257" s="40">
        <f t="shared" si="14"/>
        <v>3</v>
      </c>
      <c r="AO257" s="37">
        <f t="shared" si="15"/>
        <v>7.8947368421052628</v>
      </c>
      <c r="AP257" s="38">
        <v>102</v>
      </c>
      <c r="AQ257" s="38">
        <v>43</v>
      </c>
      <c r="AR257" s="38">
        <v>59</v>
      </c>
      <c r="AS257" s="38">
        <v>47</v>
      </c>
      <c r="AT257" s="38">
        <v>17</v>
      </c>
      <c r="AU257" s="38">
        <v>30</v>
      </c>
      <c r="AV257" s="38">
        <v>50</v>
      </c>
      <c r="AW257" s="38">
        <v>28</v>
      </c>
      <c r="AX257" s="38">
        <v>22</v>
      </c>
      <c r="AY257" s="38">
        <v>92</v>
      </c>
      <c r="AZ257" s="38">
        <v>46</v>
      </c>
      <c r="BA257" s="38">
        <v>46</v>
      </c>
      <c r="BB257" s="38">
        <v>-13</v>
      </c>
      <c r="BC257" s="37">
        <v>-14.130434782608695</v>
      </c>
      <c r="BD257" s="40">
        <v>-8</v>
      </c>
      <c r="BE257" s="37">
        <v>-17.391304347826086</v>
      </c>
      <c r="BF257" s="40">
        <v>-5</v>
      </c>
      <c r="BG257" s="37">
        <v>-10.869565217391305</v>
      </c>
      <c r="BH257" s="38">
        <v>50</v>
      </c>
      <c r="BI257" s="38">
        <v>19</v>
      </c>
      <c r="BJ257" s="38">
        <v>11</v>
      </c>
      <c r="BK257" s="38">
        <v>8</v>
      </c>
      <c r="BL257" s="37">
        <v>263.15789473684214</v>
      </c>
      <c r="BM257" s="37">
        <v>254.54545454545453</v>
      </c>
      <c r="BN257" s="37">
        <v>275</v>
      </c>
      <c r="BO257" s="38">
        <v>28</v>
      </c>
      <c r="BP257" s="38">
        <v>17</v>
      </c>
      <c r="BQ257" s="38">
        <v>11</v>
      </c>
      <c r="BR257" s="37">
        <v>178.57142857142858</v>
      </c>
      <c r="BS257" s="37">
        <v>164.70588235294116</v>
      </c>
      <c r="BT257" s="37">
        <v>200</v>
      </c>
      <c r="BU257" s="2"/>
      <c r="BV257" s="2"/>
    </row>
    <row r="258" spans="1:74" ht="15.75" x14ac:dyDescent="0.3">
      <c r="A258" s="2" t="s">
        <v>54</v>
      </c>
      <c r="B258" s="2" t="s">
        <v>1393</v>
      </c>
      <c r="C258" s="2" t="s">
        <v>1856</v>
      </c>
      <c r="D258" s="2" t="s">
        <v>57</v>
      </c>
      <c r="E258" s="2" t="s">
        <v>58</v>
      </c>
      <c r="F258" s="2" t="s">
        <v>59</v>
      </c>
      <c r="G258" s="2" t="s">
        <v>186</v>
      </c>
      <c r="H258" s="2" t="s">
        <v>61</v>
      </c>
      <c r="I258" s="2" t="s">
        <v>378</v>
      </c>
      <c r="J258" s="2" t="s">
        <v>1478</v>
      </c>
      <c r="K258" s="2" t="s">
        <v>76</v>
      </c>
      <c r="L258" s="2" t="s">
        <v>1479</v>
      </c>
      <c r="M258" s="2">
        <v>7</v>
      </c>
      <c r="N258" s="2" t="s">
        <v>1480</v>
      </c>
      <c r="O258" s="2" t="s">
        <v>1481</v>
      </c>
      <c r="P258" s="2" t="s">
        <v>80</v>
      </c>
      <c r="Q258" s="2" t="s">
        <v>144</v>
      </c>
      <c r="R258" s="2" t="s">
        <v>145</v>
      </c>
      <c r="S258" s="2" t="s">
        <v>1482</v>
      </c>
      <c r="T258" s="2" t="s">
        <v>1483</v>
      </c>
      <c r="U258" s="2" t="s">
        <v>1484</v>
      </c>
      <c r="V258" s="2" t="s">
        <v>1483</v>
      </c>
      <c r="W258" s="2" t="s">
        <v>74</v>
      </c>
      <c r="X258" s="38">
        <v>722</v>
      </c>
      <c r="Y258" s="38">
        <v>298</v>
      </c>
      <c r="Z258" s="38">
        <v>424</v>
      </c>
      <c r="AA258" s="38">
        <v>446</v>
      </c>
      <c r="AB258" s="38">
        <v>173</v>
      </c>
      <c r="AC258" s="38">
        <v>273</v>
      </c>
      <c r="AD258" s="38">
        <v>209</v>
      </c>
      <c r="AE258" s="38">
        <v>92</v>
      </c>
      <c r="AF258" s="38">
        <v>117</v>
      </c>
      <c r="AG258" s="38">
        <v>0</v>
      </c>
      <c r="AH258" s="38">
        <v>0</v>
      </c>
      <c r="AI258" s="38">
        <v>0</v>
      </c>
      <c r="AJ258" s="38">
        <v>67</v>
      </c>
      <c r="AK258" s="37">
        <v>9.2797783933518012</v>
      </c>
      <c r="AL258" s="40">
        <f t="shared" si="12"/>
        <v>33</v>
      </c>
      <c r="AM258" s="37">
        <f t="shared" si="13"/>
        <v>11.073825503355705</v>
      </c>
      <c r="AN258" s="40">
        <f t="shared" si="14"/>
        <v>34</v>
      </c>
      <c r="AO258" s="37">
        <f t="shared" si="15"/>
        <v>8.0188679245283012</v>
      </c>
      <c r="AP258" s="38">
        <v>986</v>
      </c>
      <c r="AQ258" s="38">
        <v>446</v>
      </c>
      <c r="AR258" s="38">
        <v>540</v>
      </c>
      <c r="AS258" s="38">
        <v>455</v>
      </c>
      <c r="AT258" s="38">
        <v>213</v>
      </c>
      <c r="AU258" s="38">
        <v>242</v>
      </c>
      <c r="AV258" s="38">
        <v>169</v>
      </c>
      <c r="AW258" s="38">
        <v>61</v>
      </c>
      <c r="AX258" s="38">
        <v>108</v>
      </c>
      <c r="AY258" s="38">
        <v>929</v>
      </c>
      <c r="AZ258" s="38">
        <v>428</v>
      </c>
      <c r="BA258" s="38">
        <v>501</v>
      </c>
      <c r="BB258" s="38">
        <v>229</v>
      </c>
      <c r="BC258" s="37">
        <v>24.650161463939721</v>
      </c>
      <c r="BD258" s="40">
        <v>134</v>
      </c>
      <c r="BE258" s="37">
        <v>31.308411214953267</v>
      </c>
      <c r="BF258" s="40">
        <v>95</v>
      </c>
      <c r="BG258" s="37">
        <v>18.962075848303392</v>
      </c>
      <c r="BH258" s="38">
        <v>169</v>
      </c>
      <c r="BI258" s="38">
        <v>177</v>
      </c>
      <c r="BJ258" s="38">
        <v>68</v>
      </c>
      <c r="BK258" s="38">
        <v>109</v>
      </c>
      <c r="BL258" s="37">
        <v>95.480225988700568</v>
      </c>
      <c r="BM258" s="37">
        <v>89.705882352941174</v>
      </c>
      <c r="BN258" s="37">
        <v>99.082568807339456</v>
      </c>
      <c r="BO258" s="38">
        <v>329</v>
      </c>
      <c r="BP258" s="38">
        <v>165</v>
      </c>
      <c r="BQ258" s="38">
        <v>164</v>
      </c>
      <c r="BR258" s="37">
        <v>51.367781155015201</v>
      </c>
      <c r="BS258" s="37">
        <v>36.969696969696969</v>
      </c>
      <c r="BT258" s="37">
        <v>65.853658536585371</v>
      </c>
      <c r="BU258" s="2"/>
      <c r="BV258" s="2"/>
    </row>
    <row r="259" spans="1:74" ht="15.75" x14ac:dyDescent="0.3">
      <c r="A259" s="2" t="s">
        <v>54</v>
      </c>
      <c r="B259" s="2" t="s">
        <v>1393</v>
      </c>
      <c r="C259" s="2" t="s">
        <v>1856</v>
      </c>
      <c r="D259" s="2" t="s">
        <v>57</v>
      </c>
      <c r="E259" s="2" t="s">
        <v>58</v>
      </c>
      <c r="F259" s="2" t="s">
        <v>59</v>
      </c>
      <c r="G259" s="2" t="s">
        <v>60</v>
      </c>
      <c r="H259" s="2" t="s">
        <v>61</v>
      </c>
      <c r="I259" s="2" t="s">
        <v>500</v>
      </c>
      <c r="J259" s="2" t="s">
        <v>500</v>
      </c>
      <c r="K259" s="2" t="s">
        <v>1485</v>
      </c>
      <c r="L259" s="2" t="s">
        <v>1359</v>
      </c>
      <c r="M259" s="2">
        <v>197</v>
      </c>
      <c r="N259" s="2" t="s">
        <v>1486</v>
      </c>
      <c r="O259" s="2" t="s">
        <v>1487</v>
      </c>
      <c r="P259" s="2" t="s">
        <v>80</v>
      </c>
      <c r="Q259" s="2" t="s">
        <v>90</v>
      </c>
      <c r="R259" s="2" t="s">
        <v>91</v>
      </c>
      <c r="S259" s="2" t="s">
        <v>1488</v>
      </c>
      <c r="T259" s="2" t="s">
        <v>1489</v>
      </c>
      <c r="U259" s="2" t="s">
        <v>1490</v>
      </c>
      <c r="V259" s="2" t="s">
        <v>1489</v>
      </c>
      <c r="W259" s="2" t="s">
        <v>74</v>
      </c>
      <c r="X259" s="38">
        <v>804</v>
      </c>
      <c r="Y259" s="38">
        <v>387</v>
      </c>
      <c r="Z259" s="38">
        <v>417</v>
      </c>
      <c r="AA259" s="38">
        <v>608</v>
      </c>
      <c r="AB259" s="38">
        <v>265</v>
      </c>
      <c r="AC259" s="38">
        <v>343</v>
      </c>
      <c r="AD259" s="38">
        <v>66</v>
      </c>
      <c r="AE259" s="38">
        <v>37</v>
      </c>
      <c r="AF259" s="38">
        <v>29</v>
      </c>
      <c r="AG259" s="38">
        <v>0</v>
      </c>
      <c r="AH259" s="38">
        <v>0</v>
      </c>
      <c r="AI259" s="38">
        <v>0</v>
      </c>
      <c r="AJ259" s="38">
        <v>130</v>
      </c>
      <c r="AK259" s="37">
        <v>16.169154228855724</v>
      </c>
      <c r="AL259" s="40">
        <f t="shared" si="12"/>
        <v>85</v>
      </c>
      <c r="AM259" s="37">
        <f t="shared" si="13"/>
        <v>21.963824289405682</v>
      </c>
      <c r="AN259" s="40">
        <f t="shared" si="14"/>
        <v>45</v>
      </c>
      <c r="AO259" s="37">
        <f t="shared" si="15"/>
        <v>10.791366906474821</v>
      </c>
      <c r="AP259" s="38">
        <v>987</v>
      </c>
      <c r="AQ259" s="38">
        <v>471</v>
      </c>
      <c r="AR259" s="38">
        <v>516</v>
      </c>
      <c r="AS259" s="38">
        <v>433</v>
      </c>
      <c r="AT259" s="38">
        <v>223</v>
      </c>
      <c r="AU259" s="38">
        <v>210</v>
      </c>
      <c r="AV259" s="38">
        <v>184</v>
      </c>
      <c r="AW259" s="38">
        <v>96</v>
      </c>
      <c r="AX259" s="38">
        <v>88</v>
      </c>
      <c r="AY259" s="38">
        <v>858</v>
      </c>
      <c r="AZ259" s="38">
        <v>420</v>
      </c>
      <c r="BA259" s="38">
        <v>438</v>
      </c>
      <c r="BB259" s="38">
        <v>120</v>
      </c>
      <c r="BC259" s="37">
        <v>13.986013986013987</v>
      </c>
      <c r="BD259" s="40">
        <v>76</v>
      </c>
      <c r="BE259" s="37">
        <v>18.095238095238095</v>
      </c>
      <c r="BF259" s="40">
        <v>44</v>
      </c>
      <c r="BG259" s="37">
        <v>10.045662100456621</v>
      </c>
      <c r="BH259" s="38">
        <v>184</v>
      </c>
      <c r="BI259" s="38">
        <v>195</v>
      </c>
      <c r="BJ259" s="38">
        <v>102</v>
      </c>
      <c r="BK259" s="38">
        <v>93</v>
      </c>
      <c r="BL259" s="37">
        <v>94.358974358974351</v>
      </c>
      <c r="BM259" s="37">
        <v>94.117647058823522</v>
      </c>
      <c r="BN259" s="37">
        <v>94.623655913978496</v>
      </c>
      <c r="BO259" s="38">
        <v>297</v>
      </c>
      <c r="BP259" s="38">
        <v>153</v>
      </c>
      <c r="BQ259" s="38">
        <v>144</v>
      </c>
      <c r="BR259" s="37">
        <v>61.952861952861952</v>
      </c>
      <c r="BS259" s="37">
        <v>62.745098039215684</v>
      </c>
      <c r="BT259" s="37">
        <v>61.111111111111114</v>
      </c>
      <c r="BU259" s="2"/>
      <c r="BV259" s="2"/>
    </row>
    <row r="260" spans="1:74" ht="15.75" x14ac:dyDescent="0.3">
      <c r="A260" s="2" t="s">
        <v>54</v>
      </c>
      <c r="B260" s="2" t="s">
        <v>1393</v>
      </c>
      <c r="C260" s="2" t="s">
        <v>1856</v>
      </c>
      <c r="D260" s="2" t="s">
        <v>57</v>
      </c>
      <c r="E260" s="2" t="s">
        <v>95</v>
      </c>
      <c r="F260" s="2" t="s">
        <v>106</v>
      </c>
      <c r="G260" s="2" t="s">
        <v>149</v>
      </c>
      <c r="H260" s="2" t="s">
        <v>149</v>
      </c>
      <c r="I260" s="2" t="s">
        <v>275</v>
      </c>
      <c r="J260" s="2" t="s">
        <v>1491</v>
      </c>
      <c r="K260" s="2" t="s">
        <v>1492</v>
      </c>
      <c r="L260" s="2" t="s">
        <v>1493</v>
      </c>
      <c r="M260" s="2">
        <v>0</v>
      </c>
      <c r="N260" s="2" t="s">
        <v>1494</v>
      </c>
      <c r="O260" s="2" t="s">
        <v>80</v>
      </c>
      <c r="P260" s="2" t="s">
        <v>80</v>
      </c>
      <c r="Q260" s="2" t="s">
        <v>135</v>
      </c>
      <c r="R260" s="2" t="s">
        <v>136</v>
      </c>
      <c r="S260" s="2" t="s">
        <v>1495</v>
      </c>
      <c r="T260" s="2" t="s">
        <v>1496</v>
      </c>
      <c r="U260" s="2" t="s">
        <v>1497</v>
      </c>
      <c r="V260" s="2" t="s">
        <v>1496</v>
      </c>
      <c r="W260" s="2" t="s">
        <v>74</v>
      </c>
      <c r="X260" s="38">
        <v>224</v>
      </c>
      <c r="Y260" s="38">
        <v>81</v>
      </c>
      <c r="Z260" s="38">
        <v>143</v>
      </c>
      <c r="AA260" s="38">
        <v>209</v>
      </c>
      <c r="AB260" s="38">
        <v>73</v>
      </c>
      <c r="AC260" s="38">
        <v>136</v>
      </c>
      <c r="AD260" s="38">
        <v>0</v>
      </c>
      <c r="AE260" s="38">
        <v>0</v>
      </c>
      <c r="AF260" s="38">
        <v>0</v>
      </c>
      <c r="AG260" s="38">
        <v>33</v>
      </c>
      <c r="AH260" s="38">
        <v>11</v>
      </c>
      <c r="AI260" s="38">
        <v>22</v>
      </c>
      <c r="AJ260" s="38">
        <v>15</v>
      </c>
      <c r="AK260" s="37">
        <v>6.6964285714285712</v>
      </c>
      <c r="AL260" s="40">
        <f t="shared" si="12"/>
        <v>8</v>
      </c>
      <c r="AM260" s="37">
        <f t="shared" si="13"/>
        <v>9.8765432098765427</v>
      </c>
      <c r="AN260" s="40">
        <f t="shared" si="14"/>
        <v>7</v>
      </c>
      <c r="AO260" s="37">
        <f t="shared" si="15"/>
        <v>4.895104895104895</v>
      </c>
      <c r="AP260" s="38">
        <v>238</v>
      </c>
      <c r="AQ260" s="38">
        <v>94</v>
      </c>
      <c r="AR260" s="38">
        <v>144</v>
      </c>
      <c r="AS260" s="38">
        <v>93</v>
      </c>
      <c r="AT260" s="38">
        <v>37</v>
      </c>
      <c r="AU260" s="38">
        <v>56</v>
      </c>
      <c r="AV260" s="38">
        <v>83</v>
      </c>
      <c r="AW260" s="38">
        <v>25</v>
      </c>
      <c r="AX260" s="38">
        <v>58</v>
      </c>
      <c r="AY260" s="38">
        <v>271</v>
      </c>
      <c r="AZ260" s="38">
        <v>114</v>
      </c>
      <c r="BA260" s="38">
        <v>157</v>
      </c>
      <c r="BB260" s="38">
        <v>43</v>
      </c>
      <c r="BC260" s="37">
        <v>15.867158671586715</v>
      </c>
      <c r="BD260" s="40">
        <v>32</v>
      </c>
      <c r="BE260" s="37">
        <v>28.07017543859649</v>
      </c>
      <c r="BF260" s="40">
        <v>11</v>
      </c>
      <c r="BG260" s="37">
        <v>7.0063694267515926</v>
      </c>
      <c r="BH260" s="38">
        <v>83</v>
      </c>
      <c r="BI260" s="38">
        <v>91</v>
      </c>
      <c r="BJ260" s="38">
        <v>30</v>
      </c>
      <c r="BK260" s="38">
        <v>61</v>
      </c>
      <c r="BL260" s="37">
        <v>91.208791208791212</v>
      </c>
      <c r="BM260" s="37">
        <v>83.333333333333343</v>
      </c>
      <c r="BN260" s="37">
        <v>95.081967213114751</v>
      </c>
      <c r="BO260" s="38">
        <v>120</v>
      </c>
      <c r="BP260" s="38">
        <v>46</v>
      </c>
      <c r="BQ260" s="38">
        <v>74</v>
      </c>
      <c r="BR260" s="37">
        <v>69.166666666666671</v>
      </c>
      <c r="BS260" s="37">
        <v>54.347826086956516</v>
      </c>
      <c r="BT260" s="37">
        <v>78.378378378378372</v>
      </c>
      <c r="BU260" s="2"/>
      <c r="BV260" s="2"/>
    </row>
    <row r="261" spans="1:74" ht="15.75" x14ac:dyDescent="0.3">
      <c r="A261" s="2" t="s">
        <v>54</v>
      </c>
      <c r="B261" s="2" t="s">
        <v>1393</v>
      </c>
      <c r="C261" s="2" t="s">
        <v>1856</v>
      </c>
      <c r="D261" s="2" t="s">
        <v>57</v>
      </c>
      <c r="E261" s="2" t="s">
        <v>95</v>
      </c>
      <c r="F261" s="2" t="s">
        <v>106</v>
      </c>
      <c r="G261" s="2" t="s">
        <v>60</v>
      </c>
      <c r="H261" s="2" t="s">
        <v>61</v>
      </c>
      <c r="I261" s="2" t="s">
        <v>506</v>
      </c>
      <c r="J261" s="2" t="s">
        <v>506</v>
      </c>
      <c r="K261" s="2" t="s">
        <v>76</v>
      </c>
      <c r="L261" s="2" t="s">
        <v>1498</v>
      </c>
      <c r="M261" s="2">
        <v>0</v>
      </c>
      <c r="N261" s="2" t="s">
        <v>1499</v>
      </c>
      <c r="O261" s="2" t="s">
        <v>1500</v>
      </c>
      <c r="P261" s="2" t="s">
        <v>80</v>
      </c>
      <c r="Q261" s="2" t="s">
        <v>69</v>
      </c>
      <c r="R261" s="2" t="s">
        <v>70</v>
      </c>
      <c r="S261" s="2" t="s">
        <v>1501</v>
      </c>
      <c r="T261" s="2" t="s">
        <v>1502</v>
      </c>
      <c r="U261" s="2" t="s">
        <v>1503</v>
      </c>
      <c r="V261" s="2" t="s">
        <v>1502</v>
      </c>
      <c r="W261" s="2" t="s">
        <v>74</v>
      </c>
      <c r="X261" s="38">
        <v>431</v>
      </c>
      <c r="Y261" s="38">
        <v>162</v>
      </c>
      <c r="Z261" s="38">
        <v>269</v>
      </c>
      <c r="AA261" s="38">
        <v>379</v>
      </c>
      <c r="AB261" s="38">
        <v>129</v>
      </c>
      <c r="AC261" s="38">
        <v>250</v>
      </c>
      <c r="AD261" s="38">
        <v>0</v>
      </c>
      <c r="AE261" s="38">
        <v>0</v>
      </c>
      <c r="AF261" s="38">
        <v>0</v>
      </c>
      <c r="AG261" s="38">
        <v>52</v>
      </c>
      <c r="AH261" s="38">
        <v>16</v>
      </c>
      <c r="AI261" s="38">
        <v>36</v>
      </c>
      <c r="AJ261" s="38">
        <v>52</v>
      </c>
      <c r="AK261" s="37">
        <v>12.064965197215777</v>
      </c>
      <c r="AL261" s="40">
        <f t="shared" si="12"/>
        <v>33</v>
      </c>
      <c r="AM261" s="37">
        <f t="shared" si="13"/>
        <v>20.37037037037037</v>
      </c>
      <c r="AN261" s="40">
        <f t="shared" si="14"/>
        <v>19</v>
      </c>
      <c r="AO261" s="37">
        <f t="shared" si="15"/>
        <v>7.0631970260223049</v>
      </c>
      <c r="AP261" s="38">
        <v>504</v>
      </c>
      <c r="AQ261" s="38">
        <v>176</v>
      </c>
      <c r="AR261" s="38">
        <v>328</v>
      </c>
      <c r="AS261" s="38">
        <v>191</v>
      </c>
      <c r="AT261" s="38">
        <v>64</v>
      </c>
      <c r="AU261" s="38">
        <v>127</v>
      </c>
      <c r="AV261" s="38">
        <v>114</v>
      </c>
      <c r="AW261" s="38">
        <v>46</v>
      </c>
      <c r="AX261" s="38">
        <v>68</v>
      </c>
      <c r="AY261" s="38">
        <v>470</v>
      </c>
      <c r="AZ261" s="38">
        <v>187</v>
      </c>
      <c r="BA261" s="38">
        <v>283</v>
      </c>
      <c r="BB261" s="38">
        <v>43</v>
      </c>
      <c r="BC261" s="37">
        <v>9.1489361702127656</v>
      </c>
      <c r="BD261" s="40">
        <v>29</v>
      </c>
      <c r="BE261" s="37">
        <v>15.508021390374333</v>
      </c>
      <c r="BF261" s="40">
        <v>14</v>
      </c>
      <c r="BG261" s="37">
        <v>4.946996466431095</v>
      </c>
      <c r="BH261" s="38">
        <v>114</v>
      </c>
      <c r="BI261" s="38">
        <v>114</v>
      </c>
      <c r="BJ261" s="38">
        <v>46</v>
      </c>
      <c r="BK261" s="38">
        <v>68</v>
      </c>
      <c r="BL261" s="37">
        <v>100</v>
      </c>
      <c r="BM261" s="37">
        <v>100</v>
      </c>
      <c r="BN261" s="37">
        <v>100</v>
      </c>
      <c r="BO261" s="38">
        <v>173</v>
      </c>
      <c r="BP261" s="38">
        <v>83</v>
      </c>
      <c r="BQ261" s="38">
        <v>90</v>
      </c>
      <c r="BR261" s="37">
        <v>65.895953757225428</v>
      </c>
      <c r="BS261" s="37">
        <v>55.421686746987952</v>
      </c>
      <c r="BT261" s="37">
        <v>75.555555555555557</v>
      </c>
      <c r="BU261" s="2"/>
      <c r="BV261" s="2"/>
    </row>
    <row r="262" spans="1:74" ht="15.75" x14ac:dyDescent="0.3">
      <c r="A262" s="2" t="s">
        <v>54</v>
      </c>
      <c r="B262" s="2" t="s">
        <v>1393</v>
      </c>
      <c r="C262" s="2" t="s">
        <v>1856</v>
      </c>
      <c r="D262" s="2" t="s">
        <v>57</v>
      </c>
      <c r="E262" s="2" t="s">
        <v>95</v>
      </c>
      <c r="F262" s="2" t="s">
        <v>106</v>
      </c>
      <c r="G262" s="2" t="s">
        <v>60</v>
      </c>
      <c r="H262" s="2" t="s">
        <v>61</v>
      </c>
      <c r="I262" s="2" t="s">
        <v>506</v>
      </c>
      <c r="J262" s="2" t="s">
        <v>506</v>
      </c>
      <c r="K262" s="2" t="s">
        <v>76</v>
      </c>
      <c r="L262" s="2" t="s">
        <v>1498</v>
      </c>
      <c r="M262" s="2">
        <v>0</v>
      </c>
      <c r="N262" s="2" t="s">
        <v>1499</v>
      </c>
      <c r="O262" s="2" t="s">
        <v>1500</v>
      </c>
      <c r="P262" s="2" t="s">
        <v>80</v>
      </c>
      <c r="Q262" s="2" t="s">
        <v>69</v>
      </c>
      <c r="R262" s="2" t="s">
        <v>70</v>
      </c>
      <c r="S262" s="2" t="s">
        <v>1501</v>
      </c>
      <c r="T262" s="2" t="s">
        <v>1502</v>
      </c>
      <c r="U262" s="2" t="s">
        <v>1503</v>
      </c>
      <c r="V262" s="2" t="s">
        <v>1502</v>
      </c>
      <c r="W262" s="2" t="s">
        <v>113</v>
      </c>
      <c r="X262" s="38">
        <v>219</v>
      </c>
      <c r="Y262" s="38">
        <v>85</v>
      </c>
      <c r="Z262" s="38">
        <v>134</v>
      </c>
      <c r="AA262" s="38">
        <v>192</v>
      </c>
      <c r="AB262" s="38">
        <v>75</v>
      </c>
      <c r="AC262" s="38">
        <v>117</v>
      </c>
      <c r="AD262" s="38">
        <v>0</v>
      </c>
      <c r="AE262" s="38">
        <v>0</v>
      </c>
      <c r="AF262" s="38">
        <v>0</v>
      </c>
      <c r="AG262" s="38">
        <v>2</v>
      </c>
      <c r="AH262" s="38">
        <v>2</v>
      </c>
      <c r="AI262" s="38">
        <v>0</v>
      </c>
      <c r="AJ262" s="38">
        <v>27</v>
      </c>
      <c r="AK262" s="37">
        <v>12.328767123287671</v>
      </c>
      <c r="AL262" s="40">
        <f t="shared" si="12"/>
        <v>10</v>
      </c>
      <c r="AM262" s="37">
        <f t="shared" si="13"/>
        <v>11.76470588235294</v>
      </c>
      <c r="AN262" s="40">
        <f t="shared" si="14"/>
        <v>17</v>
      </c>
      <c r="AO262" s="37">
        <f t="shared" si="15"/>
        <v>12.686567164179104</v>
      </c>
      <c r="AP262" s="38">
        <v>258</v>
      </c>
      <c r="AQ262" s="38">
        <v>106</v>
      </c>
      <c r="AR262" s="38">
        <v>152</v>
      </c>
      <c r="AS262" s="38">
        <v>96</v>
      </c>
      <c r="AT262" s="38">
        <v>42</v>
      </c>
      <c r="AU262" s="38">
        <v>54</v>
      </c>
      <c r="AV262" s="38">
        <v>56</v>
      </c>
      <c r="AW262" s="38">
        <v>22</v>
      </c>
      <c r="AX262" s="38">
        <v>34</v>
      </c>
      <c r="AY262" s="38">
        <v>238</v>
      </c>
      <c r="AZ262" s="38">
        <v>104</v>
      </c>
      <c r="BA262" s="38">
        <v>134</v>
      </c>
      <c r="BB262" s="38">
        <v>20</v>
      </c>
      <c r="BC262" s="37">
        <v>8.4033613445378155</v>
      </c>
      <c r="BD262" s="40">
        <v>18</v>
      </c>
      <c r="BE262" s="37">
        <v>17.307692307692307</v>
      </c>
      <c r="BF262" s="40">
        <v>2</v>
      </c>
      <c r="BG262" s="37">
        <v>1.4925373134328357</v>
      </c>
      <c r="BH262" s="38">
        <v>56</v>
      </c>
      <c r="BI262" s="38">
        <v>58</v>
      </c>
      <c r="BJ262" s="38">
        <v>24</v>
      </c>
      <c r="BK262" s="38">
        <v>34</v>
      </c>
      <c r="BL262" s="37">
        <v>96.551724137931032</v>
      </c>
      <c r="BM262" s="37">
        <v>91.666666666666657</v>
      </c>
      <c r="BN262" s="37">
        <v>100</v>
      </c>
      <c r="BO262" s="38">
        <v>94</v>
      </c>
      <c r="BP262" s="38">
        <v>43</v>
      </c>
      <c r="BQ262" s="38">
        <v>51</v>
      </c>
      <c r="BR262" s="37">
        <v>59.574468085106382</v>
      </c>
      <c r="BS262" s="37">
        <v>51.162790697674424</v>
      </c>
      <c r="BT262" s="37">
        <v>66.666666666666657</v>
      </c>
      <c r="BU262" s="2"/>
      <c r="BV262" s="2"/>
    </row>
    <row r="263" spans="1:74" ht="15.75" x14ac:dyDescent="0.3">
      <c r="A263" s="2" t="s">
        <v>54</v>
      </c>
      <c r="B263" s="2" t="s">
        <v>1393</v>
      </c>
      <c r="C263" s="2" t="s">
        <v>1856</v>
      </c>
      <c r="D263" s="2" t="s">
        <v>57</v>
      </c>
      <c r="E263" s="2" t="s">
        <v>95</v>
      </c>
      <c r="F263" s="2" t="s">
        <v>106</v>
      </c>
      <c r="G263" s="2" t="s">
        <v>60</v>
      </c>
      <c r="H263" s="2" t="s">
        <v>61</v>
      </c>
      <c r="I263" s="2" t="s">
        <v>500</v>
      </c>
      <c r="J263" s="2" t="s">
        <v>500</v>
      </c>
      <c r="K263" s="2" t="s">
        <v>159</v>
      </c>
      <c r="L263" s="2" t="s">
        <v>1504</v>
      </c>
      <c r="M263" s="2">
        <v>0</v>
      </c>
      <c r="N263" s="2" t="s">
        <v>1505</v>
      </c>
      <c r="O263" s="2" t="s">
        <v>1506</v>
      </c>
      <c r="P263" s="2" t="s">
        <v>80</v>
      </c>
      <c r="Q263" s="2" t="s">
        <v>90</v>
      </c>
      <c r="R263" s="2" t="s">
        <v>91</v>
      </c>
      <c r="S263" s="2" t="s">
        <v>1507</v>
      </c>
      <c r="T263" s="2" t="s">
        <v>1508</v>
      </c>
      <c r="U263" s="2" t="s">
        <v>1509</v>
      </c>
      <c r="V263" s="2" t="s">
        <v>1508</v>
      </c>
      <c r="W263" s="2" t="s">
        <v>74</v>
      </c>
      <c r="X263" s="38">
        <v>663</v>
      </c>
      <c r="Y263" s="38">
        <v>309</v>
      </c>
      <c r="Z263" s="38">
        <v>354</v>
      </c>
      <c r="AA263" s="38">
        <v>593</v>
      </c>
      <c r="AB263" s="38">
        <v>273</v>
      </c>
      <c r="AC263" s="38">
        <v>320</v>
      </c>
      <c r="AD263" s="38">
        <v>0</v>
      </c>
      <c r="AE263" s="38">
        <v>0</v>
      </c>
      <c r="AF263" s="38">
        <v>0</v>
      </c>
      <c r="AG263" s="38">
        <v>53</v>
      </c>
      <c r="AH263" s="38">
        <v>13</v>
      </c>
      <c r="AI263" s="38">
        <v>40</v>
      </c>
      <c r="AJ263" s="38">
        <v>70</v>
      </c>
      <c r="AK263" s="37">
        <v>10.558069381598793</v>
      </c>
      <c r="AL263" s="40">
        <f t="shared" si="12"/>
        <v>36</v>
      </c>
      <c r="AM263" s="37">
        <f t="shared" si="13"/>
        <v>11.650485436893204</v>
      </c>
      <c r="AN263" s="40">
        <f t="shared" si="14"/>
        <v>34</v>
      </c>
      <c r="AO263" s="37">
        <f t="shared" si="15"/>
        <v>9.6045197740112993</v>
      </c>
      <c r="AP263" s="38">
        <v>770</v>
      </c>
      <c r="AQ263" s="38">
        <v>369</v>
      </c>
      <c r="AR263" s="38">
        <v>401</v>
      </c>
      <c r="AS263" s="38">
        <v>280</v>
      </c>
      <c r="AT263" s="38">
        <v>133</v>
      </c>
      <c r="AU263" s="38">
        <v>147</v>
      </c>
      <c r="AV263" s="38">
        <v>175</v>
      </c>
      <c r="AW263" s="38">
        <v>78</v>
      </c>
      <c r="AX263" s="38">
        <v>97</v>
      </c>
      <c r="AY263" s="38">
        <v>723</v>
      </c>
      <c r="AZ263" s="38">
        <v>342</v>
      </c>
      <c r="BA263" s="38">
        <v>381</v>
      </c>
      <c r="BB263" s="38">
        <v>58</v>
      </c>
      <c r="BC263" s="37">
        <v>8.0221300138312586</v>
      </c>
      <c r="BD263" s="40">
        <v>28</v>
      </c>
      <c r="BE263" s="37">
        <v>8.1871345029239766</v>
      </c>
      <c r="BF263" s="40">
        <v>30</v>
      </c>
      <c r="BG263" s="37">
        <v>7.8740157480314963</v>
      </c>
      <c r="BH263" s="38">
        <v>175</v>
      </c>
      <c r="BI263" s="38">
        <v>184</v>
      </c>
      <c r="BJ263" s="38">
        <v>83</v>
      </c>
      <c r="BK263" s="38">
        <v>101</v>
      </c>
      <c r="BL263" s="37">
        <v>95.108695652173907</v>
      </c>
      <c r="BM263" s="37">
        <v>93.975903614457835</v>
      </c>
      <c r="BN263" s="37">
        <v>96.039603960396036</v>
      </c>
      <c r="BO263" s="38">
        <v>266</v>
      </c>
      <c r="BP263" s="38">
        <v>134</v>
      </c>
      <c r="BQ263" s="38">
        <v>132</v>
      </c>
      <c r="BR263" s="37">
        <v>65.789473684210535</v>
      </c>
      <c r="BS263" s="37">
        <v>58.208955223880601</v>
      </c>
      <c r="BT263" s="37">
        <v>73.484848484848484</v>
      </c>
      <c r="BU263" s="2"/>
      <c r="BV263" s="2"/>
    </row>
    <row r="264" spans="1:74" ht="15.75" x14ac:dyDescent="0.3">
      <c r="A264" s="2" t="s">
        <v>54</v>
      </c>
      <c r="B264" s="2" t="s">
        <v>1393</v>
      </c>
      <c r="C264" s="2" t="s">
        <v>1856</v>
      </c>
      <c r="D264" s="2" t="s">
        <v>57</v>
      </c>
      <c r="E264" s="2" t="s">
        <v>95</v>
      </c>
      <c r="F264" s="2" t="s">
        <v>106</v>
      </c>
      <c r="G264" s="2" t="s">
        <v>60</v>
      </c>
      <c r="H264" s="2" t="s">
        <v>61</v>
      </c>
      <c r="I264" s="2" t="s">
        <v>500</v>
      </c>
      <c r="J264" s="2" t="s">
        <v>500</v>
      </c>
      <c r="K264" s="2" t="s">
        <v>159</v>
      </c>
      <c r="L264" s="2" t="s">
        <v>1504</v>
      </c>
      <c r="M264" s="2">
        <v>0</v>
      </c>
      <c r="N264" s="2" t="s">
        <v>1505</v>
      </c>
      <c r="O264" s="2" t="s">
        <v>1506</v>
      </c>
      <c r="P264" s="2" t="s">
        <v>80</v>
      </c>
      <c r="Q264" s="2" t="s">
        <v>90</v>
      </c>
      <c r="R264" s="2" t="s">
        <v>91</v>
      </c>
      <c r="S264" s="2" t="s">
        <v>1507</v>
      </c>
      <c r="T264" s="2" t="s">
        <v>1508</v>
      </c>
      <c r="U264" s="2" t="s">
        <v>1509</v>
      </c>
      <c r="V264" s="2" t="s">
        <v>1508</v>
      </c>
      <c r="W264" s="2" t="s">
        <v>113</v>
      </c>
      <c r="X264" s="38">
        <v>496</v>
      </c>
      <c r="Y264" s="38">
        <v>219</v>
      </c>
      <c r="Z264" s="38">
        <v>277</v>
      </c>
      <c r="AA264" s="38">
        <v>374</v>
      </c>
      <c r="AB264" s="38">
        <v>148</v>
      </c>
      <c r="AC264" s="38">
        <v>226</v>
      </c>
      <c r="AD264" s="38">
        <v>0</v>
      </c>
      <c r="AE264" s="38">
        <v>0</v>
      </c>
      <c r="AF264" s="38">
        <v>0</v>
      </c>
      <c r="AG264" s="38">
        <v>25</v>
      </c>
      <c r="AH264" s="38">
        <v>10</v>
      </c>
      <c r="AI264" s="38">
        <v>15</v>
      </c>
      <c r="AJ264" s="38">
        <v>122</v>
      </c>
      <c r="AK264" s="37">
        <v>24.596774193548388</v>
      </c>
      <c r="AL264" s="40">
        <f t="shared" si="12"/>
        <v>71</v>
      </c>
      <c r="AM264" s="37">
        <f t="shared" si="13"/>
        <v>32.420091324200911</v>
      </c>
      <c r="AN264" s="40">
        <f t="shared" si="14"/>
        <v>51</v>
      </c>
      <c r="AO264" s="37">
        <f t="shared" si="15"/>
        <v>18.411552346570399</v>
      </c>
      <c r="AP264" s="38">
        <v>620</v>
      </c>
      <c r="AQ264" s="38">
        <v>288</v>
      </c>
      <c r="AR264" s="38">
        <v>332</v>
      </c>
      <c r="AS264" s="38">
        <v>241</v>
      </c>
      <c r="AT264" s="38">
        <v>123</v>
      </c>
      <c r="AU264" s="38">
        <v>118</v>
      </c>
      <c r="AV264" s="38">
        <v>120</v>
      </c>
      <c r="AW264" s="38">
        <v>54</v>
      </c>
      <c r="AX264" s="38">
        <v>66</v>
      </c>
      <c r="AY264" s="38">
        <v>586</v>
      </c>
      <c r="AZ264" s="38">
        <v>289</v>
      </c>
      <c r="BA264" s="38">
        <v>297</v>
      </c>
      <c r="BB264" s="38">
        <v>87</v>
      </c>
      <c r="BC264" s="37">
        <v>14.846416382252558</v>
      </c>
      <c r="BD264" s="40">
        <v>70</v>
      </c>
      <c r="BE264" s="37">
        <v>24.221453287197232</v>
      </c>
      <c r="BF264" s="40">
        <v>17</v>
      </c>
      <c r="BG264" s="37">
        <v>5.7239057239057241</v>
      </c>
      <c r="BH264" s="38">
        <v>120</v>
      </c>
      <c r="BI264" s="38">
        <v>139</v>
      </c>
      <c r="BJ264" s="38">
        <v>67</v>
      </c>
      <c r="BK264" s="38">
        <v>72</v>
      </c>
      <c r="BL264" s="37">
        <v>86.330935251798564</v>
      </c>
      <c r="BM264" s="37">
        <v>80.597014925373131</v>
      </c>
      <c r="BN264" s="37">
        <v>91.666666666666657</v>
      </c>
      <c r="BO264" s="38">
        <v>238</v>
      </c>
      <c r="BP264" s="38">
        <v>124</v>
      </c>
      <c r="BQ264" s="38">
        <v>114</v>
      </c>
      <c r="BR264" s="37">
        <v>50.420168067226889</v>
      </c>
      <c r="BS264" s="37">
        <v>43.548387096774192</v>
      </c>
      <c r="BT264" s="37">
        <v>57.894736842105267</v>
      </c>
      <c r="BU264" s="2"/>
      <c r="BV264" s="2"/>
    </row>
    <row r="265" spans="1:74" ht="15.75" x14ac:dyDescent="0.3">
      <c r="A265" s="2" t="s">
        <v>54</v>
      </c>
      <c r="B265" s="2" t="s">
        <v>1393</v>
      </c>
      <c r="C265" s="2" t="s">
        <v>1856</v>
      </c>
      <c r="D265" s="2" t="s">
        <v>57</v>
      </c>
      <c r="E265" s="2" t="s">
        <v>95</v>
      </c>
      <c r="F265" s="2" t="s">
        <v>106</v>
      </c>
      <c r="G265" s="2" t="s">
        <v>60</v>
      </c>
      <c r="H265" s="2" t="s">
        <v>61</v>
      </c>
      <c r="I265" s="2" t="s">
        <v>403</v>
      </c>
      <c r="J265" s="2" t="s">
        <v>403</v>
      </c>
      <c r="K265" s="2" t="s">
        <v>1510</v>
      </c>
      <c r="L265" s="2" t="s">
        <v>1511</v>
      </c>
      <c r="M265" s="2">
        <v>0</v>
      </c>
      <c r="N265" s="2" t="s">
        <v>1512</v>
      </c>
      <c r="O265" s="2" t="s">
        <v>1513</v>
      </c>
      <c r="P265" s="2" t="s">
        <v>80</v>
      </c>
      <c r="Q265" s="2" t="s">
        <v>144</v>
      </c>
      <c r="R265" s="2" t="s">
        <v>145</v>
      </c>
      <c r="S265" s="2" t="s">
        <v>1514</v>
      </c>
      <c r="T265" s="2" t="s">
        <v>1515</v>
      </c>
      <c r="U265" s="2" t="s">
        <v>1516</v>
      </c>
      <c r="V265" s="2" t="s">
        <v>1515</v>
      </c>
      <c r="W265" s="2" t="s">
        <v>74</v>
      </c>
      <c r="X265" s="38">
        <v>266</v>
      </c>
      <c r="Y265" s="38">
        <v>126</v>
      </c>
      <c r="Z265" s="38">
        <v>140</v>
      </c>
      <c r="AA265" s="38">
        <v>192</v>
      </c>
      <c r="AB265" s="38">
        <v>81</v>
      </c>
      <c r="AC265" s="38">
        <v>111</v>
      </c>
      <c r="AD265" s="38">
        <v>45</v>
      </c>
      <c r="AE265" s="38">
        <v>29</v>
      </c>
      <c r="AF265" s="38">
        <v>16</v>
      </c>
      <c r="AG265" s="38">
        <v>53</v>
      </c>
      <c r="AH265" s="38">
        <v>23</v>
      </c>
      <c r="AI265" s="38">
        <v>30</v>
      </c>
      <c r="AJ265" s="38">
        <v>29</v>
      </c>
      <c r="AK265" s="37">
        <v>10.902255639097744</v>
      </c>
      <c r="AL265" s="40">
        <f t="shared" si="12"/>
        <v>16</v>
      </c>
      <c r="AM265" s="37">
        <f t="shared" si="13"/>
        <v>12.698412698412698</v>
      </c>
      <c r="AN265" s="40">
        <f t="shared" si="14"/>
        <v>13</v>
      </c>
      <c r="AO265" s="37">
        <f t="shared" si="15"/>
        <v>9.2857142857142865</v>
      </c>
      <c r="AP265" s="38">
        <v>274</v>
      </c>
      <c r="AQ265" s="38">
        <v>127</v>
      </c>
      <c r="AR265" s="38">
        <v>147</v>
      </c>
      <c r="AS265" s="38">
        <v>98</v>
      </c>
      <c r="AT265" s="38">
        <v>43</v>
      </c>
      <c r="AU265" s="38">
        <v>55</v>
      </c>
      <c r="AV265" s="38">
        <v>76</v>
      </c>
      <c r="AW265" s="38">
        <v>35</v>
      </c>
      <c r="AX265" s="38">
        <v>41</v>
      </c>
      <c r="AY265" s="38">
        <v>267</v>
      </c>
      <c r="AZ265" s="38">
        <v>131</v>
      </c>
      <c r="BA265" s="38">
        <v>136</v>
      </c>
      <c r="BB265" s="38">
        <v>15</v>
      </c>
      <c r="BC265" s="37">
        <v>5.6179775280898872</v>
      </c>
      <c r="BD265" s="40">
        <v>12</v>
      </c>
      <c r="BE265" s="37">
        <v>9.1603053435114496</v>
      </c>
      <c r="BF265" s="40">
        <v>3</v>
      </c>
      <c r="BG265" s="37">
        <v>2.2058823529411766</v>
      </c>
      <c r="BH265" s="38">
        <v>76</v>
      </c>
      <c r="BI265" s="38">
        <v>82</v>
      </c>
      <c r="BJ265" s="38">
        <v>37</v>
      </c>
      <c r="BK265" s="38">
        <v>45</v>
      </c>
      <c r="BL265" s="37">
        <v>92.682926829268297</v>
      </c>
      <c r="BM265" s="37">
        <v>94.594594594594597</v>
      </c>
      <c r="BN265" s="37">
        <v>91.111111111111114</v>
      </c>
      <c r="BO265" s="38">
        <v>101</v>
      </c>
      <c r="BP265" s="38">
        <v>51</v>
      </c>
      <c r="BQ265" s="38">
        <v>50</v>
      </c>
      <c r="BR265" s="37">
        <v>75.247524752475243</v>
      </c>
      <c r="BS265" s="37">
        <v>68.627450980392155</v>
      </c>
      <c r="BT265" s="37">
        <v>82</v>
      </c>
      <c r="BU265" s="2"/>
      <c r="BV265" s="2"/>
    </row>
    <row r="266" spans="1:74" ht="15.75" x14ac:dyDescent="0.3">
      <c r="A266" s="2" t="s">
        <v>54</v>
      </c>
      <c r="B266" s="2" t="s">
        <v>1393</v>
      </c>
      <c r="C266" s="2" t="s">
        <v>1856</v>
      </c>
      <c r="D266" s="2" t="s">
        <v>57</v>
      </c>
      <c r="E266" s="2" t="s">
        <v>95</v>
      </c>
      <c r="F266" s="2" t="s">
        <v>106</v>
      </c>
      <c r="G266" s="2" t="s">
        <v>60</v>
      </c>
      <c r="H266" s="2" t="s">
        <v>61</v>
      </c>
      <c r="I266" s="2" t="s">
        <v>62</v>
      </c>
      <c r="J266" s="2" t="s">
        <v>63</v>
      </c>
      <c r="K266" s="2" t="s">
        <v>1517</v>
      </c>
      <c r="L266" s="2" t="s">
        <v>1518</v>
      </c>
      <c r="M266" s="2">
        <v>0</v>
      </c>
      <c r="N266" s="2" t="s">
        <v>1519</v>
      </c>
      <c r="O266" s="2" t="s">
        <v>1520</v>
      </c>
      <c r="P266" s="2" t="s">
        <v>80</v>
      </c>
      <c r="Q266" s="2" t="s">
        <v>69</v>
      </c>
      <c r="R266" s="2" t="s">
        <v>70</v>
      </c>
      <c r="S266" s="2" t="s">
        <v>1521</v>
      </c>
      <c r="T266" s="2" t="s">
        <v>1522</v>
      </c>
      <c r="U266" s="2" t="s">
        <v>1523</v>
      </c>
      <c r="V266" s="2" t="s">
        <v>1522</v>
      </c>
      <c r="W266" s="2" t="s">
        <v>74</v>
      </c>
      <c r="X266" s="38">
        <v>834</v>
      </c>
      <c r="Y266" s="38">
        <v>439</v>
      </c>
      <c r="Z266" s="38">
        <v>395</v>
      </c>
      <c r="AA266" s="38">
        <v>657</v>
      </c>
      <c r="AB266" s="38">
        <v>317</v>
      </c>
      <c r="AC266" s="38">
        <v>340</v>
      </c>
      <c r="AD266" s="38">
        <v>69</v>
      </c>
      <c r="AE266" s="38">
        <v>51</v>
      </c>
      <c r="AF266" s="38">
        <v>18</v>
      </c>
      <c r="AG266" s="38">
        <v>81</v>
      </c>
      <c r="AH266" s="38">
        <v>48</v>
      </c>
      <c r="AI266" s="38">
        <v>33</v>
      </c>
      <c r="AJ266" s="38">
        <v>108</v>
      </c>
      <c r="AK266" s="37">
        <v>12.949640287769784</v>
      </c>
      <c r="AL266" s="40">
        <f t="shared" si="12"/>
        <v>71</v>
      </c>
      <c r="AM266" s="37">
        <f t="shared" si="13"/>
        <v>16.173120728929387</v>
      </c>
      <c r="AN266" s="40">
        <f t="shared" si="14"/>
        <v>37</v>
      </c>
      <c r="AO266" s="37">
        <f t="shared" si="15"/>
        <v>9.3670886075949369</v>
      </c>
      <c r="AP266" s="38">
        <v>888</v>
      </c>
      <c r="AQ266" s="38">
        <v>484</v>
      </c>
      <c r="AR266" s="38">
        <v>404</v>
      </c>
      <c r="AS266" s="38">
        <v>323</v>
      </c>
      <c r="AT266" s="38">
        <v>197</v>
      </c>
      <c r="AU266" s="38">
        <v>126</v>
      </c>
      <c r="AV266" s="38">
        <v>233</v>
      </c>
      <c r="AW266" s="38">
        <v>147</v>
      </c>
      <c r="AX266" s="38">
        <v>86</v>
      </c>
      <c r="AY266" s="38">
        <v>869</v>
      </c>
      <c r="AZ266" s="38">
        <v>470</v>
      </c>
      <c r="BA266" s="38">
        <v>399</v>
      </c>
      <c r="BB266" s="38">
        <v>71</v>
      </c>
      <c r="BC266" s="37">
        <v>8.1703107019562715</v>
      </c>
      <c r="BD266" s="40">
        <v>36</v>
      </c>
      <c r="BE266" s="37">
        <v>7.6595744680851059</v>
      </c>
      <c r="BF266" s="40">
        <v>35</v>
      </c>
      <c r="BG266" s="37">
        <v>8.7719298245614024</v>
      </c>
      <c r="BH266" s="38">
        <v>233</v>
      </c>
      <c r="BI266" s="38">
        <v>263</v>
      </c>
      <c r="BJ266" s="38">
        <v>152</v>
      </c>
      <c r="BK266" s="38">
        <v>111</v>
      </c>
      <c r="BL266" s="37">
        <v>88.593155893536121</v>
      </c>
      <c r="BM266" s="37">
        <v>96.710526315789465</v>
      </c>
      <c r="BN266" s="37">
        <v>77.477477477477478</v>
      </c>
      <c r="BO266" s="38">
        <v>302</v>
      </c>
      <c r="BP266" s="38">
        <v>188</v>
      </c>
      <c r="BQ266" s="38">
        <v>114</v>
      </c>
      <c r="BR266" s="37">
        <v>77.152317880794712</v>
      </c>
      <c r="BS266" s="37">
        <v>78.191489361702125</v>
      </c>
      <c r="BT266" s="37">
        <v>75.438596491228068</v>
      </c>
      <c r="BU266" s="2"/>
      <c r="BV266" s="2"/>
    </row>
    <row r="267" spans="1:74" ht="15.75" x14ac:dyDescent="0.3">
      <c r="A267" s="2" t="s">
        <v>54</v>
      </c>
      <c r="B267" s="2" t="s">
        <v>1393</v>
      </c>
      <c r="C267" s="2" t="s">
        <v>1856</v>
      </c>
      <c r="D267" s="2" t="s">
        <v>57</v>
      </c>
      <c r="E267" s="2" t="s">
        <v>95</v>
      </c>
      <c r="F267" s="2" t="s">
        <v>106</v>
      </c>
      <c r="G267" s="2" t="s">
        <v>60</v>
      </c>
      <c r="H267" s="2" t="s">
        <v>61</v>
      </c>
      <c r="I267" s="2" t="s">
        <v>62</v>
      </c>
      <c r="J267" s="2" t="s">
        <v>63</v>
      </c>
      <c r="K267" s="2" t="s">
        <v>1517</v>
      </c>
      <c r="L267" s="2" t="s">
        <v>1518</v>
      </c>
      <c r="M267" s="2">
        <v>0</v>
      </c>
      <c r="N267" s="2" t="s">
        <v>1519</v>
      </c>
      <c r="O267" s="2" t="s">
        <v>1520</v>
      </c>
      <c r="P267" s="2" t="s">
        <v>80</v>
      </c>
      <c r="Q267" s="2" t="s">
        <v>69</v>
      </c>
      <c r="R267" s="2" t="s">
        <v>70</v>
      </c>
      <c r="S267" s="2" t="s">
        <v>1521</v>
      </c>
      <c r="T267" s="2" t="s">
        <v>1522</v>
      </c>
      <c r="U267" s="2" t="s">
        <v>1523</v>
      </c>
      <c r="V267" s="2" t="s">
        <v>1522</v>
      </c>
      <c r="W267" s="2" t="s">
        <v>113</v>
      </c>
      <c r="X267" s="38">
        <v>874</v>
      </c>
      <c r="Y267" s="38">
        <v>577</v>
      </c>
      <c r="Z267" s="38">
        <v>297</v>
      </c>
      <c r="AA267" s="38">
        <v>648</v>
      </c>
      <c r="AB267" s="38">
        <v>430</v>
      </c>
      <c r="AC267" s="38">
        <v>218</v>
      </c>
      <c r="AD267" s="38">
        <v>80</v>
      </c>
      <c r="AE267" s="38">
        <v>45</v>
      </c>
      <c r="AF267" s="38">
        <v>35</v>
      </c>
      <c r="AG267" s="38">
        <v>66</v>
      </c>
      <c r="AH267" s="38">
        <v>36</v>
      </c>
      <c r="AI267" s="38">
        <v>30</v>
      </c>
      <c r="AJ267" s="38">
        <v>146</v>
      </c>
      <c r="AK267" s="37">
        <v>16.704805491990847</v>
      </c>
      <c r="AL267" s="40">
        <f t="shared" si="12"/>
        <v>102</v>
      </c>
      <c r="AM267" s="37">
        <f t="shared" si="13"/>
        <v>17.677642980935875</v>
      </c>
      <c r="AN267" s="40">
        <f t="shared" si="14"/>
        <v>44</v>
      </c>
      <c r="AO267" s="37">
        <f t="shared" si="15"/>
        <v>14.814814814814813</v>
      </c>
      <c r="AP267" s="38">
        <v>910</v>
      </c>
      <c r="AQ267" s="38">
        <v>588</v>
      </c>
      <c r="AR267" s="38">
        <v>322</v>
      </c>
      <c r="AS267" s="38">
        <v>325</v>
      </c>
      <c r="AT267" s="38">
        <v>205</v>
      </c>
      <c r="AU267" s="38">
        <v>120</v>
      </c>
      <c r="AV267" s="38">
        <v>278</v>
      </c>
      <c r="AW267" s="38">
        <v>170</v>
      </c>
      <c r="AX267" s="38">
        <v>108</v>
      </c>
      <c r="AY267" s="38">
        <v>1022</v>
      </c>
      <c r="AZ267" s="38">
        <v>702</v>
      </c>
      <c r="BA267" s="38">
        <v>320</v>
      </c>
      <c r="BB267" s="38">
        <v>159</v>
      </c>
      <c r="BC267" s="37">
        <v>15.557729941291583</v>
      </c>
      <c r="BD267" s="40">
        <v>149</v>
      </c>
      <c r="BE267" s="37">
        <v>21.225071225071225</v>
      </c>
      <c r="BF267" s="40">
        <v>10</v>
      </c>
      <c r="BG267" s="37">
        <v>3.125</v>
      </c>
      <c r="BH267" s="38">
        <v>278</v>
      </c>
      <c r="BI267" s="38">
        <v>301</v>
      </c>
      <c r="BJ267" s="38">
        <v>202</v>
      </c>
      <c r="BK267" s="38">
        <v>99</v>
      </c>
      <c r="BL267" s="37">
        <v>92.358803986710967</v>
      </c>
      <c r="BM267" s="37">
        <v>84.158415841584159</v>
      </c>
      <c r="BN267" s="37">
        <v>109.09090909090908</v>
      </c>
      <c r="BO267" s="38">
        <v>343</v>
      </c>
      <c r="BP267" s="38">
        <v>251</v>
      </c>
      <c r="BQ267" s="38">
        <v>92</v>
      </c>
      <c r="BR267" s="37">
        <v>81.04956268221575</v>
      </c>
      <c r="BS267" s="37">
        <v>67.729083665338635</v>
      </c>
      <c r="BT267" s="37">
        <v>117.39130434782609</v>
      </c>
      <c r="BU267" s="2"/>
      <c r="BV267" s="2"/>
    </row>
    <row r="268" spans="1:74" ht="15.75" x14ac:dyDescent="0.3">
      <c r="A268" s="2" t="s">
        <v>54</v>
      </c>
      <c r="B268" s="2" t="s">
        <v>1393</v>
      </c>
      <c r="C268" s="2" t="s">
        <v>1856</v>
      </c>
      <c r="D268" s="2" t="s">
        <v>57</v>
      </c>
      <c r="E268" s="2" t="s">
        <v>95</v>
      </c>
      <c r="F268" s="2" t="s">
        <v>106</v>
      </c>
      <c r="G268" s="2" t="s">
        <v>60</v>
      </c>
      <c r="H268" s="2" t="s">
        <v>61</v>
      </c>
      <c r="I268" s="2" t="s">
        <v>122</v>
      </c>
      <c r="J268" s="2" t="s">
        <v>740</v>
      </c>
      <c r="K268" s="2" t="s">
        <v>1524</v>
      </c>
      <c r="L268" s="2" t="s">
        <v>1525</v>
      </c>
      <c r="M268" s="2">
        <v>317</v>
      </c>
      <c r="N268" s="2" t="s">
        <v>1526</v>
      </c>
      <c r="O268" s="2" t="s">
        <v>1527</v>
      </c>
      <c r="P268" s="2" t="s">
        <v>80</v>
      </c>
      <c r="Q268" s="2" t="s">
        <v>69</v>
      </c>
      <c r="R268" s="2" t="s">
        <v>70</v>
      </c>
      <c r="S268" s="2" t="s">
        <v>1528</v>
      </c>
      <c r="T268" s="2" t="s">
        <v>1529</v>
      </c>
      <c r="U268" s="2" t="s">
        <v>1530</v>
      </c>
      <c r="V268" s="2" t="s">
        <v>1529</v>
      </c>
      <c r="W268" s="2" t="s">
        <v>74</v>
      </c>
      <c r="X268" s="38">
        <v>760</v>
      </c>
      <c r="Y268" s="38">
        <v>397</v>
      </c>
      <c r="Z268" s="38">
        <v>363</v>
      </c>
      <c r="AA268" s="38">
        <v>705</v>
      </c>
      <c r="AB268" s="38">
        <v>359</v>
      </c>
      <c r="AC268" s="38">
        <v>346</v>
      </c>
      <c r="AD268" s="38">
        <v>0</v>
      </c>
      <c r="AE268" s="38">
        <v>0</v>
      </c>
      <c r="AF268" s="38">
        <v>0</v>
      </c>
      <c r="AG268" s="38">
        <v>92</v>
      </c>
      <c r="AH268" s="38">
        <v>37</v>
      </c>
      <c r="AI268" s="38">
        <v>55</v>
      </c>
      <c r="AJ268" s="38">
        <v>55</v>
      </c>
      <c r="AK268" s="37">
        <v>7.2368421052631584</v>
      </c>
      <c r="AL268" s="40">
        <f t="shared" si="12"/>
        <v>38</v>
      </c>
      <c r="AM268" s="37">
        <f t="shared" si="13"/>
        <v>9.5717884130982362</v>
      </c>
      <c r="AN268" s="40">
        <f t="shared" si="14"/>
        <v>17</v>
      </c>
      <c r="AO268" s="37">
        <f t="shared" si="15"/>
        <v>4.6831955922865012</v>
      </c>
      <c r="AP268" s="38">
        <v>800</v>
      </c>
      <c r="AQ268" s="38">
        <v>438</v>
      </c>
      <c r="AR268" s="38">
        <v>362</v>
      </c>
      <c r="AS268" s="38">
        <v>276</v>
      </c>
      <c r="AT268" s="38">
        <v>165</v>
      </c>
      <c r="AU268" s="38">
        <v>111</v>
      </c>
      <c r="AV268" s="38">
        <v>236</v>
      </c>
      <c r="AW268" s="38">
        <v>126</v>
      </c>
      <c r="AX268" s="38">
        <v>110</v>
      </c>
      <c r="AY268" s="38">
        <v>784</v>
      </c>
      <c r="AZ268" s="38">
        <v>422</v>
      </c>
      <c r="BA268" s="38">
        <v>362</v>
      </c>
      <c r="BB268" s="38">
        <v>24</v>
      </c>
      <c r="BC268" s="37">
        <v>3.0612244897959182</v>
      </c>
      <c r="BD268" s="40">
        <v>23</v>
      </c>
      <c r="BE268" s="37">
        <v>5.4502369668246446</v>
      </c>
      <c r="BF268" s="40">
        <v>1</v>
      </c>
      <c r="BG268" s="37">
        <v>0.27624309392265189</v>
      </c>
      <c r="BH268" s="38">
        <v>236</v>
      </c>
      <c r="BI268" s="38">
        <v>244</v>
      </c>
      <c r="BJ268" s="38">
        <v>131</v>
      </c>
      <c r="BK268" s="38">
        <v>113</v>
      </c>
      <c r="BL268" s="37">
        <v>96.721311475409834</v>
      </c>
      <c r="BM268" s="37">
        <v>96.18320610687023</v>
      </c>
      <c r="BN268" s="37">
        <v>97.345132743362825</v>
      </c>
      <c r="BO268" s="38">
        <v>269</v>
      </c>
      <c r="BP268" s="38">
        <v>153</v>
      </c>
      <c r="BQ268" s="38">
        <v>116</v>
      </c>
      <c r="BR268" s="37">
        <v>87.732342007434951</v>
      </c>
      <c r="BS268" s="37">
        <v>82.35294117647058</v>
      </c>
      <c r="BT268" s="37">
        <v>94.827586206896555</v>
      </c>
      <c r="BU268" s="2"/>
      <c r="BV268" s="2"/>
    </row>
    <row r="269" spans="1:74" ht="15.75" x14ac:dyDescent="0.3">
      <c r="A269" s="2" t="s">
        <v>54</v>
      </c>
      <c r="B269" s="2" t="s">
        <v>1393</v>
      </c>
      <c r="C269" s="2" t="s">
        <v>1856</v>
      </c>
      <c r="D269" s="2" t="s">
        <v>57</v>
      </c>
      <c r="E269" s="2" t="s">
        <v>95</v>
      </c>
      <c r="F269" s="2" t="s">
        <v>106</v>
      </c>
      <c r="G269" s="2" t="s">
        <v>60</v>
      </c>
      <c r="H269" s="2" t="s">
        <v>61</v>
      </c>
      <c r="I269" s="2" t="s">
        <v>122</v>
      </c>
      <c r="J269" s="2" t="s">
        <v>740</v>
      </c>
      <c r="K269" s="2" t="s">
        <v>1524</v>
      </c>
      <c r="L269" s="2" t="s">
        <v>1525</v>
      </c>
      <c r="M269" s="2">
        <v>317</v>
      </c>
      <c r="N269" s="2" t="s">
        <v>1526</v>
      </c>
      <c r="O269" s="2" t="s">
        <v>1527</v>
      </c>
      <c r="P269" s="2" t="s">
        <v>80</v>
      </c>
      <c r="Q269" s="2" t="s">
        <v>69</v>
      </c>
      <c r="R269" s="2" t="s">
        <v>70</v>
      </c>
      <c r="S269" s="2" t="s">
        <v>1528</v>
      </c>
      <c r="T269" s="2" t="s">
        <v>1529</v>
      </c>
      <c r="U269" s="2" t="s">
        <v>1530</v>
      </c>
      <c r="V269" s="2" t="s">
        <v>1529</v>
      </c>
      <c r="W269" s="2" t="s">
        <v>113</v>
      </c>
      <c r="X269" s="38">
        <v>633</v>
      </c>
      <c r="Y269" s="38">
        <v>359</v>
      </c>
      <c r="Z269" s="38">
        <v>274</v>
      </c>
      <c r="AA269" s="38">
        <v>530</v>
      </c>
      <c r="AB269" s="38">
        <v>300</v>
      </c>
      <c r="AC269" s="38">
        <v>230</v>
      </c>
      <c r="AD269" s="38">
        <v>0</v>
      </c>
      <c r="AE269" s="38">
        <v>0</v>
      </c>
      <c r="AF269" s="38">
        <v>0</v>
      </c>
      <c r="AG269" s="38">
        <v>29</v>
      </c>
      <c r="AH269" s="38">
        <v>15</v>
      </c>
      <c r="AI269" s="38">
        <v>14</v>
      </c>
      <c r="AJ269" s="38">
        <v>103</v>
      </c>
      <c r="AK269" s="37">
        <v>16.271721958925749</v>
      </c>
      <c r="AL269" s="40">
        <f t="shared" si="12"/>
        <v>59</v>
      </c>
      <c r="AM269" s="37">
        <f t="shared" si="13"/>
        <v>16.434540389972145</v>
      </c>
      <c r="AN269" s="40">
        <f t="shared" si="14"/>
        <v>44</v>
      </c>
      <c r="AO269" s="37">
        <f t="shared" si="15"/>
        <v>16.058394160583941</v>
      </c>
      <c r="AP269" s="38">
        <v>708</v>
      </c>
      <c r="AQ269" s="38">
        <v>412</v>
      </c>
      <c r="AR269" s="38">
        <v>296</v>
      </c>
      <c r="AS269" s="38">
        <v>288</v>
      </c>
      <c r="AT269" s="38">
        <v>175</v>
      </c>
      <c r="AU269" s="38">
        <v>113</v>
      </c>
      <c r="AV269" s="38">
        <v>192</v>
      </c>
      <c r="AW269" s="38">
        <v>117</v>
      </c>
      <c r="AX269" s="38">
        <v>75</v>
      </c>
      <c r="AY269" s="38">
        <v>690</v>
      </c>
      <c r="AZ269" s="38">
        <v>395</v>
      </c>
      <c r="BA269" s="38">
        <v>295</v>
      </c>
      <c r="BB269" s="38">
        <v>78</v>
      </c>
      <c r="BC269" s="37">
        <v>11.304347826086957</v>
      </c>
      <c r="BD269" s="40">
        <v>41</v>
      </c>
      <c r="BE269" s="37">
        <v>10.379746835443038</v>
      </c>
      <c r="BF269" s="40">
        <v>37</v>
      </c>
      <c r="BG269" s="37">
        <v>12.542372881355931</v>
      </c>
      <c r="BH269" s="38">
        <v>192</v>
      </c>
      <c r="BI269" s="38">
        <v>210</v>
      </c>
      <c r="BJ269" s="38">
        <v>126</v>
      </c>
      <c r="BK269" s="38">
        <v>84</v>
      </c>
      <c r="BL269" s="37">
        <v>91.428571428571431</v>
      </c>
      <c r="BM269" s="37">
        <v>92.857142857142861</v>
      </c>
      <c r="BN269" s="37">
        <v>89.285714285714292</v>
      </c>
      <c r="BO269" s="38">
        <v>246</v>
      </c>
      <c r="BP269" s="38">
        <v>158</v>
      </c>
      <c r="BQ269" s="38">
        <v>88</v>
      </c>
      <c r="BR269" s="37">
        <v>78.048780487804876</v>
      </c>
      <c r="BS269" s="37">
        <v>74.050632911392398</v>
      </c>
      <c r="BT269" s="37">
        <v>85.227272727272734</v>
      </c>
      <c r="BU269" s="2"/>
      <c r="BV269" s="2"/>
    </row>
    <row r="270" spans="1:74" ht="15.75" x14ac:dyDescent="0.3">
      <c r="A270" s="2" t="s">
        <v>54</v>
      </c>
      <c r="B270" s="2" t="s">
        <v>1393</v>
      </c>
      <c r="C270" s="2" t="s">
        <v>1856</v>
      </c>
      <c r="D270" s="2" t="s">
        <v>57</v>
      </c>
      <c r="E270" s="2" t="s">
        <v>95</v>
      </c>
      <c r="F270" s="2" t="s">
        <v>106</v>
      </c>
      <c r="G270" s="2" t="s">
        <v>60</v>
      </c>
      <c r="H270" s="2" t="s">
        <v>61</v>
      </c>
      <c r="I270" s="2" t="s">
        <v>178</v>
      </c>
      <c r="J270" s="2" t="s">
        <v>1531</v>
      </c>
      <c r="K270" s="2" t="s">
        <v>1531</v>
      </c>
      <c r="L270" s="2" t="s">
        <v>1532</v>
      </c>
      <c r="M270" s="2">
        <v>1</v>
      </c>
      <c r="N270" s="2" t="s">
        <v>1533</v>
      </c>
      <c r="O270" s="2" t="s">
        <v>80</v>
      </c>
      <c r="P270" s="2" t="s">
        <v>80</v>
      </c>
      <c r="Q270" s="2" t="s">
        <v>90</v>
      </c>
      <c r="R270" s="2" t="s">
        <v>91</v>
      </c>
      <c r="S270" s="2" t="s">
        <v>1534</v>
      </c>
      <c r="T270" s="2" t="s">
        <v>1535</v>
      </c>
      <c r="U270" s="2" t="s">
        <v>1536</v>
      </c>
      <c r="V270" s="2" t="s">
        <v>1535</v>
      </c>
      <c r="W270" s="2" t="s">
        <v>74</v>
      </c>
      <c r="X270" s="38">
        <v>354</v>
      </c>
      <c r="Y270" s="38">
        <v>142</v>
      </c>
      <c r="Z270" s="38">
        <v>212</v>
      </c>
      <c r="AA270" s="38">
        <v>306</v>
      </c>
      <c r="AB270" s="38">
        <v>114</v>
      </c>
      <c r="AC270" s="38">
        <v>192</v>
      </c>
      <c r="AD270" s="38">
        <v>21</v>
      </c>
      <c r="AE270" s="38">
        <v>13</v>
      </c>
      <c r="AF270" s="38">
        <v>8</v>
      </c>
      <c r="AG270" s="38">
        <v>30</v>
      </c>
      <c r="AH270" s="38">
        <v>8</v>
      </c>
      <c r="AI270" s="38">
        <v>22</v>
      </c>
      <c r="AJ270" s="38">
        <v>27</v>
      </c>
      <c r="AK270" s="37">
        <v>7.6271186440677967</v>
      </c>
      <c r="AL270" s="40">
        <f t="shared" ref="AL270:AL333" si="16">Y270-AB270-AE270</f>
        <v>15</v>
      </c>
      <c r="AM270" s="37">
        <f t="shared" ref="AM270:AM333" si="17">(AL270/Y270)*100</f>
        <v>10.56338028169014</v>
      </c>
      <c r="AN270" s="40">
        <f t="shared" ref="AN270:AN333" si="18">Z270-AC270-AF270</f>
        <v>12</v>
      </c>
      <c r="AO270" s="37">
        <f t="shared" ref="AO270:AO333" si="19">(AN270/Z270)*100</f>
        <v>5.6603773584905666</v>
      </c>
      <c r="AP270" s="38">
        <v>380</v>
      </c>
      <c r="AQ270" s="38">
        <v>157</v>
      </c>
      <c r="AR270" s="38">
        <v>223</v>
      </c>
      <c r="AS270" s="38">
        <v>144</v>
      </c>
      <c r="AT270" s="38">
        <v>64</v>
      </c>
      <c r="AU270" s="38">
        <v>80</v>
      </c>
      <c r="AV270" s="38">
        <v>97</v>
      </c>
      <c r="AW270" s="38">
        <v>33</v>
      </c>
      <c r="AX270" s="38">
        <v>64</v>
      </c>
      <c r="AY270" s="38">
        <v>372</v>
      </c>
      <c r="AZ270" s="38">
        <v>156</v>
      </c>
      <c r="BA270" s="38">
        <v>216</v>
      </c>
      <c r="BB270" s="38">
        <v>39</v>
      </c>
      <c r="BC270" s="37">
        <v>10.483870967741936</v>
      </c>
      <c r="BD270" s="40">
        <v>30</v>
      </c>
      <c r="BE270" s="37">
        <v>19.230769230769234</v>
      </c>
      <c r="BF270" s="40">
        <v>9</v>
      </c>
      <c r="BG270" s="37">
        <v>4.1666666666666661</v>
      </c>
      <c r="BH270" s="38">
        <v>97</v>
      </c>
      <c r="BI270" s="38">
        <v>108</v>
      </c>
      <c r="BJ270" s="38">
        <v>40</v>
      </c>
      <c r="BK270" s="38">
        <v>68</v>
      </c>
      <c r="BL270" s="37">
        <v>89.81481481481481</v>
      </c>
      <c r="BM270" s="37">
        <v>82.5</v>
      </c>
      <c r="BN270" s="37">
        <v>94.117647058823522</v>
      </c>
      <c r="BO270" s="38">
        <v>127</v>
      </c>
      <c r="BP270" s="38">
        <v>52</v>
      </c>
      <c r="BQ270" s="38">
        <v>75</v>
      </c>
      <c r="BR270" s="37">
        <v>76.377952755905511</v>
      </c>
      <c r="BS270" s="37">
        <v>63.46153846153846</v>
      </c>
      <c r="BT270" s="37">
        <v>85.333333333333343</v>
      </c>
      <c r="BU270" s="2"/>
      <c r="BV270" s="2"/>
    </row>
    <row r="271" spans="1:74" ht="15.75" x14ac:dyDescent="0.3">
      <c r="A271" s="2" t="s">
        <v>54</v>
      </c>
      <c r="B271" s="2" t="s">
        <v>1393</v>
      </c>
      <c r="C271" s="2" t="s">
        <v>1856</v>
      </c>
      <c r="D271" s="2" t="s">
        <v>57</v>
      </c>
      <c r="E271" s="2" t="s">
        <v>95</v>
      </c>
      <c r="F271" s="2" t="s">
        <v>106</v>
      </c>
      <c r="G271" s="2" t="s">
        <v>60</v>
      </c>
      <c r="H271" s="2" t="s">
        <v>61</v>
      </c>
      <c r="I271" s="2" t="s">
        <v>178</v>
      </c>
      <c r="J271" s="2" t="s">
        <v>1531</v>
      </c>
      <c r="K271" s="2" t="s">
        <v>1531</v>
      </c>
      <c r="L271" s="2" t="s">
        <v>1532</v>
      </c>
      <c r="M271" s="2">
        <v>1</v>
      </c>
      <c r="N271" s="2" t="s">
        <v>1533</v>
      </c>
      <c r="O271" s="2" t="s">
        <v>80</v>
      </c>
      <c r="P271" s="2" t="s">
        <v>80</v>
      </c>
      <c r="Q271" s="2" t="s">
        <v>90</v>
      </c>
      <c r="R271" s="2" t="s">
        <v>91</v>
      </c>
      <c r="S271" s="2" t="s">
        <v>1534</v>
      </c>
      <c r="T271" s="2" t="s">
        <v>1535</v>
      </c>
      <c r="U271" s="2" t="s">
        <v>1536</v>
      </c>
      <c r="V271" s="2" t="s">
        <v>1535</v>
      </c>
      <c r="W271" s="2" t="s">
        <v>113</v>
      </c>
      <c r="X271" s="38">
        <v>304</v>
      </c>
      <c r="Y271" s="38">
        <v>155</v>
      </c>
      <c r="Z271" s="38">
        <v>149</v>
      </c>
      <c r="AA271" s="38">
        <v>231</v>
      </c>
      <c r="AB271" s="38">
        <v>117</v>
      </c>
      <c r="AC271" s="38">
        <v>114</v>
      </c>
      <c r="AD271" s="38">
        <v>11</v>
      </c>
      <c r="AE271" s="38">
        <v>4</v>
      </c>
      <c r="AF271" s="38">
        <v>7</v>
      </c>
      <c r="AG271" s="38">
        <v>31</v>
      </c>
      <c r="AH271" s="38">
        <v>11</v>
      </c>
      <c r="AI271" s="38">
        <v>20</v>
      </c>
      <c r="AJ271" s="38">
        <v>62</v>
      </c>
      <c r="AK271" s="37">
        <v>20.394736842105264</v>
      </c>
      <c r="AL271" s="40">
        <f t="shared" si="16"/>
        <v>34</v>
      </c>
      <c r="AM271" s="37">
        <f t="shared" si="17"/>
        <v>21.935483870967744</v>
      </c>
      <c r="AN271" s="40">
        <f t="shared" si="18"/>
        <v>28</v>
      </c>
      <c r="AO271" s="37">
        <f t="shared" si="19"/>
        <v>18.791946308724832</v>
      </c>
      <c r="AP271" s="38">
        <v>348</v>
      </c>
      <c r="AQ271" s="38">
        <v>176</v>
      </c>
      <c r="AR271" s="38">
        <v>172</v>
      </c>
      <c r="AS271" s="38">
        <v>145</v>
      </c>
      <c r="AT271" s="38">
        <v>73</v>
      </c>
      <c r="AU271" s="38">
        <v>72</v>
      </c>
      <c r="AV271" s="38">
        <v>75</v>
      </c>
      <c r="AW271" s="38">
        <v>36</v>
      </c>
      <c r="AX271" s="38">
        <v>39</v>
      </c>
      <c r="AY271" s="38">
        <v>340</v>
      </c>
      <c r="AZ271" s="38">
        <v>181</v>
      </c>
      <c r="BA271" s="38">
        <v>159</v>
      </c>
      <c r="BB271" s="38">
        <v>62</v>
      </c>
      <c r="BC271" s="37">
        <v>18.235294117647058</v>
      </c>
      <c r="BD271" s="40">
        <v>42</v>
      </c>
      <c r="BE271" s="37">
        <v>23.204419889502763</v>
      </c>
      <c r="BF271" s="40">
        <v>20</v>
      </c>
      <c r="BG271" s="37">
        <v>12.578616352201259</v>
      </c>
      <c r="BH271" s="38">
        <v>75</v>
      </c>
      <c r="BI271" s="38">
        <v>76</v>
      </c>
      <c r="BJ271" s="38">
        <v>37</v>
      </c>
      <c r="BK271" s="38">
        <v>39</v>
      </c>
      <c r="BL271" s="37">
        <v>98.68421052631578</v>
      </c>
      <c r="BM271" s="37">
        <v>97.297297297297305</v>
      </c>
      <c r="BN271" s="37">
        <v>100</v>
      </c>
      <c r="BO271" s="38">
        <v>141</v>
      </c>
      <c r="BP271" s="38">
        <v>83</v>
      </c>
      <c r="BQ271" s="38">
        <v>58</v>
      </c>
      <c r="BR271" s="37">
        <v>53.191489361702125</v>
      </c>
      <c r="BS271" s="37">
        <v>43.373493975903614</v>
      </c>
      <c r="BT271" s="37">
        <v>67.241379310344826</v>
      </c>
      <c r="BU271" s="2"/>
      <c r="BV271" s="2"/>
    </row>
    <row r="272" spans="1:74" ht="15.75" x14ac:dyDescent="0.3">
      <c r="A272" s="2" t="s">
        <v>54</v>
      </c>
      <c r="B272" s="2" t="s">
        <v>1393</v>
      </c>
      <c r="C272" s="2" t="s">
        <v>1856</v>
      </c>
      <c r="D272" s="2" t="s">
        <v>57</v>
      </c>
      <c r="E272" s="2" t="s">
        <v>95</v>
      </c>
      <c r="F272" s="2" t="s">
        <v>106</v>
      </c>
      <c r="G272" s="2" t="s">
        <v>60</v>
      </c>
      <c r="H272" s="2" t="s">
        <v>61</v>
      </c>
      <c r="I272" s="2" t="s">
        <v>62</v>
      </c>
      <c r="J272" s="2" t="s">
        <v>63</v>
      </c>
      <c r="K272" s="2" t="s">
        <v>1537</v>
      </c>
      <c r="L272" s="2" t="s">
        <v>1538</v>
      </c>
      <c r="M272" s="2">
        <v>22173</v>
      </c>
      <c r="N272" s="2" t="s">
        <v>1539</v>
      </c>
      <c r="O272" s="2" t="s">
        <v>1540</v>
      </c>
      <c r="P272" s="2" t="s">
        <v>80</v>
      </c>
      <c r="Q272" s="2" t="s">
        <v>69</v>
      </c>
      <c r="R272" s="2" t="s">
        <v>70</v>
      </c>
      <c r="S272" s="2" t="s">
        <v>1541</v>
      </c>
      <c r="T272" s="2" t="s">
        <v>1542</v>
      </c>
      <c r="U272" s="2" t="s">
        <v>1543</v>
      </c>
      <c r="V272" s="2" t="s">
        <v>1542</v>
      </c>
      <c r="W272" s="2" t="s">
        <v>74</v>
      </c>
      <c r="X272" s="38">
        <v>461</v>
      </c>
      <c r="Y272" s="38">
        <v>223</v>
      </c>
      <c r="Z272" s="38">
        <v>238</v>
      </c>
      <c r="AA272" s="38">
        <v>428</v>
      </c>
      <c r="AB272" s="38">
        <v>201</v>
      </c>
      <c r="AC272" s="38">
        <v>227</v>
      </c>
      <c r="AD272" s="38">
        <v>0</v>
      </c>
      <c r="AE272" s="38">
        <v>0</v>
      </c>
      <c r="AF272" s="38">
        <v>0</v>
      </c>
      <c r="AG272" s="38">
        <v>16</v>
      </c>
      <c r="AH272" s="38">
        <v>3</v>
      </c>
      <c r="AI272" s="38">
        <v>13</v>
      </c>
      <c r="AJ272" s="38">
        <v>33</v>
      </c>
      <c r="AK272" s="37">
        <v>7.1583514099783088</v>
      </c>
      <c r="AL272" s="40">
        <f t="shared" si="16"/>
        <v>22</v>
      </c>
      <c r="AM272" s="37">
        <f t="shared" si="17"/>
        <v>9.8654708520179373</v>
      </c>
      <c r="AN272" s="40">
        <f t="shared" si="18"/>
        <v>11</v>
      </c>
      <c r="AO272" s="37">
        <f t="shared" si="19"/>
        <v>4.6218487394957988</v>
      </c>
      <c r="AP272" s="38">
        <v>641</v>
      </c>
      <c r="AQ272" s="38">
        <v>327</v>
      </c>
      <c r="AR272" s="38">
        <v>314</v>
      </c>
      <c r="AS272" s="38">
        <v>281</v>
      </c>
      <c r="AT272" s="38">
        <v>142</v>
      </c>
      <c r="AU272" s="38">
        <v>139</v>
      </c>
      <c r="AV272" s="38">
        <v>98</v>
      </c>
      <c r="AW272" s="38">
        <v>35</v>
      </c>
      <c r="AX272" s="38">
        <v>63</v>
      </c>
      <c r="AY272" s="38">
        <v>507</v>
      </c>
      <c r="AZ272" s="38">
        <v>247</v>
      </c>
      <c r="BA272" s="38">
        <v>260</v>
      </c>
      <c r="BB272" s="38">
        <v>49</v>
      </c>
      <c r="BC272" s="37">
        <v>9.6646942800788942</v>
      </c>
      <c r="BD272" s="40">
        <v>27</v>
      </c>
      <c r="BE272" s="37">
        <v>10.931174089068826</v>
      </c>
      <c r="BF272" s="40">
        <v>22</v>
      </c>
      <c r="BG272" s="37">
        <v>8.4615384615384617</v>
      </c>
      <c r="BH272" s="38">
        <v>98</v>
      </c>
      <c r="BI272" s="38">
        <v>103</v>
      </c>
      <c r="BJ272" s="38">
        <v>39</v>
      </c>
      <c r="BK272" s="38">
        <v>64</v>
      </c>
      <c r="BL272" s="37">
        <v>95.145631067961162</v>
      </c>
      <c r="BM272" s="37">
        <v>89.743589743589752</v>
      </c>
      <c r="BN272" s="37">
        <v>98.4375</v>
      </c>
      <c r="BO272" s="38">
        <v>127</v>
      </c>
      <c r="BP272" s="38">
        <v>48</v>
      </c>
      <c r="BQ272" s="38">
        <v>79</v>
      </c>
      <c r="BR272" s="37">
        <v>77.165354330708652</v>
      </c>
      <c r="BS272" s="37">
        <v>72.916666666666657</v>
      </c>
      <c r="BT272" s="37">
        <v>79.74683544303798</v>
      </c>
      <c r="BU272" s="2"/>
      <c r="BV272" s="2"/>
    </row>
    <row r="273" spans="1:74" ht="15.75" x14ac:dyDescent="0.3">
      <c r="A273" s="2" t="s">
        <v>54</v>
      </c>
      <c r="B273" s="2" t="s">
        <v>1393</v>
      </c>
      <c r="C273" s="2" t="s">
        <v>1856</v>
      </c>
      <c r="D273" s="2" t="s">
        <v>57</v>
      </c>
      <c r="E273" s="2" t="s">
        <v>95</v>
      </c>
      <c r="F273" s="2" t="s">
        <v>106</v>
      </c>
      <c r="G273" s="2" t="s">
        <v>60</v>
      </c>
      <c r="H273" s="2" t="s">
        <v>61</v>
      </c>
      <c r="I273" s="2" t="s">
        <v>62</v>
      </c>
      <c r="J273" s="2" t="s">
        <v>63</v>
      </c>
      <c r="K273" s="2" t="s">
        <v>1537</v>
      </c>
      <c r="L273" s="2" t="s">
        <v>1538</v>
      </c>
      <c r="M273" s="2">
        <v>22173</v>
      </c>
      <c r="N273" s="2" t="s">
        <v>1539</v>
      </c>
      <c r="O273" s="2" t="s">
        <v>1540</v>
      </c>
      <c r="P273" s="2" t="s">
        <v>80</v>
      </c>
      <c r="Q273" s="2" t="s">
        <v>69</v>
      </c>
      <c r="R273" s="2" t="s">
        <v>70</v>
      </c>
      <c r="S273" s="2" t="s">
        <v>1541</v>
      </c>
      <c r="T273" s="2" t="s">
        <v>1542</v>
      </c>
      <c r="U273" s="2" t="s">
        <v>1543</v>
      </c>
      <c r="V273" s="2" t="s">
        <v>1542</v>
      </c>
      <c r="W273" s="2" t="s">
        <v>113</v>
      </c>
      <c r="X273" s="38">
        <v>192</v>
      </c>
      <c r="Y273" s="38">
        <v>113</v>
      </c>
      <c r="Z273" s="38">
        <v>79</v>
      </c>
      <c r="AA273" s="38">
        <v>187</v>
      </c>
      <c r="AB273" s="38">
        <v>111</v>
      </c>
      <c r="AC273" s="38">
        <v>76</v>
      </c>
      <c r="AD273" s="38">
        <v>0</v>
      </c>
      <c r="AE273" s="38">
        <v>0</v>
      </c>
      <c r="AF273" s="38">
        <v>0</v>
      </c>
      <c r="AG273" s="38">
        <v>4</v>
      </c>
      <c r="AH273" s="38">
        <v>4</v>
      </c>
      <c r="AI273" s="38">
        <v>0</v>
      </c>
      <c r="AJ273" s="38">
        <v>5</v>
      </c>
      <c r="AK273" s="37">
        <v>2.604166666666667</v>
      </c>
      <c r="AL273" s="40">
        <f t="shared" si="16"/>
        <v>2</v>
      </c>
      <c r="AM273" s="37">
        <f t="shared" si="17"/>
        <v>1.7699115044247788</v>
      </c>
      <c r="AN273" s="40">
        <f t="shared" si="18"/>
        <v>3</v>
      </c>
      <c r="AO273" s="37">
        <f t="shared" si="19"/>
        <v>3.79746835443038</v>
      </c>
      <c r="AP273" s="38">
        <v>99</v>
      </c>
      <c r="AQ273" s="38">
        <v>59</v>
      </c>
      <c r="AR273" s="38">
        <v>40</v>
      </c>
      <c r="AS273" s="38">
        <v>0</v>
      </c>
      <c r="AT273" s="38">
        <v>0</v>
      </c>
      <c r="AU273" s="38">
        <v>0</v>
      </c>
      <c r="AV273" s="38">
        <v>89</v>
      </c>
      <c r="AW273" s="38">
        <v>53</v>
      </c>
      <c r="AX273" s="38">
        <v>36</v>
      </c>
      <c r="AY273" s="38">
        <v>194</v>
      </c>
      <c r="AZ273" s="38">
        <v>114</v>
      </c>
      <c r="BA273" s="38">
        <v>80</v>
      </c>
      <c r="BB273" s="38">
        <v>6</v>
      </c>
      <c r="BC273" s="37">
        <v>3.0927835051546393</v>
      </c>
      <c r="BD273" s="40">
        <v>2</v>
      </c>
      <c r="BE273" s="37">
        <v>1.7543859649122806</v>
      </c>
      <c r="BF273" s="40">
        <v>4</v>
      </c>
      <c r="BG273" s="37">
        <v>5</v>
      </c>
      <c r="BH273" s="38">
        <v>89</v>
      </c>
      <c r="BI273" s="38">
        <v>90</v>
      </c>
      <c r="BJ273" s="38">
        <v>52</v>
      </c>
      <c r="BK273" s="38">
        <v>38</v>
      </c>
      <c r="BL273" s="37">
        <v>98.888888888888886</v>
      </c>
      <c r="BM273" s="37">
        <v>101.92307692307692</v>
      </c>
      <c r="BN273" s="37">
        <v>94.73684210526315</v>
      </c>
      <c r="BO273" s="38">
        <v>138</v>
      </c>
      <c r="BP273" s="38">
        <v>92</v>
      </c>
      <c r="BQ273" s="38">
        <v>46</v>
      </c>
      <c r="BR273" s="37">
        <v>64.492753623188406</v>
      </c>
      <c r="BS273" s="37">
        <v>57.608695652173914</v>
      </c>
      <c r="BT273" s="37">
        <v>78.260869565217391</v>
      </c>
      <c r="BU273" s="2"/>
      <c r="BV273" s="2"/>
    </row>
    <row r="274" spans="1:74" ht="15.75" x14ac:dyDescent="0.3">
      <c r="A274" s="2" t="s">
        <v>54</v>
      </c>
      <c r="B274" s="2" t="s">
        <v>1393</v>
      </c>
      <c r="C274" s="2" t="s">
        <v>1856</v>
      </c>
      <c r="D274" s="2" t="s">
        <v>57</v>
      </c>
      <c r="E274" s="2" t="s">
        <v>95</v>
      </c>
      <c r="F274" s="2" t="s">
        <v>106</v>
      </c>
      <c r="G274" s="2" t="s">
        <v>149</v>
      </c>
      <c r="H274" s="2" t="s">
        <v>149</v>
      </c>
      <c r="I274" s="2" t="s">
        <v>62</v>
      </c>
      <c r="J274" s="2" t="s">
        <v>1544</v>
      </c>
      <c r="K274" s="2" t="s">
        <v>1545</v>
      </c>
      <c r="L274" s="2" t="s">
        <v>1546</v>
      </c>
      <c r="M274" s="2">
        <v>0</v>
      </c>
      <c r="N274" s="2" t="s">
        <v>1547</v>
      </c>
      <c r="O274" s="2" t="s">
        <v>1548</v>
      </c>
      <c r="P274" s="2" t="s">
        <v>80</v>
      </c>
      <c r="Q274" s="2" t="s">
        <v>69</v>
      </c>
      <c r="R274" s="2" t="s">
        <v>70</v>
      </c>
      <c r="S274" s="2" t="s">
        <v>1549</v>
      </c>
      <c r="T274" s="2" t="s">
        <v>1550</v>
      </c>
      <c r="U274" s="2" t="s">
        <v>1551</v>
      </c>
      <c r="V274" s="2" t="s">
        <v>1550</v>
      </c>
      <c r="W274" s="2" t="s">
        <v>74</v>
      </c>
      <c r="X274" s="38">
        <v>790</v>
      </c>
      <c r="Y274" s="38">
        <v>394</v>
      </c>
      <c r="Z274" s="38">
        <v>396</v>
      </c>
      <c r="AA274" s="38">
        <v>699</v>
      </c>
      <c r="AB274" s="38">
        <v>332</v>
      </c>
      <c r="AC274" s="38">
        <v>367</v>
      </c>
      <c r="AD274" s="38">
        <v>38</v>
      </c>
      <c r="AE274" s="38">
        <v>22</v>
      </c>
      <c r="AF274" s="38">
        <v>16</v>
      </c>
      <c r="AG274" s="38">
        <v>74</v>
      </c>
      <c r="AH274" s="38">
        <v>23</v>
      </c>
      <c r="AI274" s="38">
        <v>51</v>
      </c>
      <c r="AJ274" s="38">
        <v>53</v>
      </c>
      <c r="AK274" s="37">
        <v>6.7088607594936702</v>
      </c>
      <c r="AL274" s="40">
        <f t="shared" si="16"/>
        <v>40</v>
      </c>
      <c r="AM274" s="37">
        <f t="shared" si="17"/>
        <v>10.152284263959391</v>
      </c>
      <c r="AN274" s="40">
        <f t="shared" si="18"/>
        <v>13</v>
      </c>
      <c r="AO274" s="37">
        <f t="shared" si="19"/>
        <v>3.2828282828282833</v>
      </c>
      <c r="AP274" s="38">
        <v>890</v>
      </c>
      <c r="AQ274" s="38">
        <v>457</v>
      </c>
      <c r="AR274" s="38">
        <v>433</v>
      </c>
      <c r="AS274" s="38">
        <v>328</v>
      </c>
      <c r="AT274" s="38">
        <v>165</v>
      </c>
      <c r="AU274" s="38">
        <v>163</v>
      </c>
      <c r="AV274" s="38">
        <v>213</v>
      </c>
      <c r="AW274" s="38">
        <v>94</v>
      </c>
      <c r="AX274" s="38">
        <v>119</v>
      </c>
      <c r="AY274" s="38">
        <v>819</v>
      </c>
      <c r="AZ274" s="38">
        <v>415</v>
      </c>
      <c r="BA274" s="38">
        <v>404</v>
      </c>
      <c r="BB274" s="38">
        <v>44</v>
      </c>
      <c r="BC274" s="37">
        <v>5.3724053724053729</v>
      </c>
      <c r="BD274" s="40">
        <v>29</v>
      </c>
      <c r="BE274" s="37">
        <v>6.9879518072289164</v>
      </c>
      <c r="BF274" s="40">
        <v>15</v>
      </c>
      <c r="BG274" s="37">
        <v>3.7128712871287126</v>
      </c>
      <c r="BH274" s="38">
        <v>213</v>
      </c>
      <c r="BI274" s="38">
        <v>213</v>
      </c>
      <c r="BJ274" s="38">
        <v>95</v>
      </c>
      <c r="BK274" s="38">
        <v>118</v>
      </c>
      <c r="BL274" s="37">
        <v>100</v>
      </c>
      <c r="BM274" s="37">
        <v>98.94736842105263</v>
      </c>
      <c r="BN274" s="37">
        <v>100.84745762711864</v>
      </c>
      <c r="BO274" s="38">
        <v>325</v>
      </c>
      <c r="BP274" s="38">
        <v>165</v>
      </c>
      <c r="BQ274" s="38">
        <v>160</v>
      </c>
      <c r="BR274" s="37">
        <v>65.538461538461533</v>
      </c>
      <c r="BS274" s="37">
        <v>56.969696969696969</v>
      </c>
      <c r="BT274" s="37">
        <v>74.375</v>
      </c>
      <c r="BU274" s="2"/>
      <c r="BV274" s="2"/>
    </row>
    <row r="275" spans="1:74" ht="15.75" x14ac:dyDescent="0.3">
      <c r="A275" s="2" t="s">
        <v>54</v>
      </c>
      <c r="B275" s="2" t="s">
        <v>1393</v>
      </c>
      <c r="C275" s="2" t="s">
        <v>1856</v>
      </c>
      <c r="D275" s="2" t="s">
        <v>57</v>
      </c>
      <c r="E275" s="2" t="s">
        <v>95</v>
      </c>
      <c r="F275" s="2" t="s">
        <v>106</v>
      </c>
      <c r="G275" s="2" t="s">
        <v>60</v>
      </c>
      <c r="H275" s="2" t="s">
        <v>187</v>
      </c>
      <c r="I275" s="2" t="s">
        <v>378</v>
      </c>
      <c r="J275" s="2" t="s">
        <v>1552</v>
      </c>
      <c r="K275" s="2" t="s">
        <v>1553</v>
      </c>
      <c r="L275" s="2" t="s">
        <v>1554</v>
      </c>
      <c r="M275" s="2">
        <v>0</v>
      </c>
      <c r="N275" s="2" t="s">
        <v>1555</v>
      </c>
      <c r="O275" s="2" t="s">
        <v>80</v>
      </c>
      <c r="P275" s="2" t="s">
        <v>80</v>
      </c>
      <c r="Q275" s="2" t="s">
        <v>144</v>
      </c>
      <c r="R275" s="2" t="s">
        <v>145</v>
      </c>
      <c r="S275" s="2" t="s">
        <v>1556</v>
      </c>
      <c r="T275" s="2" t="s">
        <v>1557</v>
      </c>
      <c r="U275" s="2" t="s">
        <v>1558</v>
      </c>
      <c r="V275" s="2" t="s">
        <v>1557</v>
      </c>
      <c r="W275" s="2" t="s">
        <v>74</v>
      </c>
      <c r="X275" s="38">
        <v>352</v>
      </c>
      <c r="Y275" s="38">
        <v>158</v>
      </c>
      <c r="Z275" s="38">
        <v>194</v>
      </c>
      <c r="AA275" s="38">
        <v>345</v>
      </c>
      <c r="AB275" s="38">
        <v>151</v>
      </c>
      <c r="AC275" s="38">
        <v>194</v>
      </c>
      <c r="AD275" s="38">
        <v>0</v>
      </c>
      <c r="AE275" s="38">
        <v>0</v>
      </c>
      <c r="AF275" s="38">
        <v>0</v>
      </c>
      <c r="AG275" s="38">
        <v>38</v>
      </c>
      <c r="AH275" s="38">
        <v>9</v>
      </c>
      <c r="AI275" s="38">
        <v>29</v>
      </c>
      <c r="AJ275" s="38">
        <v>7</v>
      </c>
      <c r="AK275" s="37">
        <v>1.9886363636363635</v>
      </c>
      <c r="AL275" s="40">
        <f t="shared" si="16"/>
        <v>7</v>
      </c>
      <c r="AM275" s="37">
        <f t="shared" si="17"/>
        <v>4.4303797468354427</v>
      </c>
      <c r="AN275" s="40">
        <f t="shared" si="18"/>
        <v>0</v>
      </c>
      <c r="AO275" s="37">
        <f t="shared" si="19"/>
        <v>0</v>
      </c>
      <c r="AP275" s="38">
        <v>406</v>
      </c>
      <c r="AQ275" s="38">
        <v>197</v>
      </c>
      <c r="AR275" s="38">
        <v>209</v>
      </c>
      <c r="AS275" s="38">
        <v>150</v>
      </c>
      <c r="AT275" s="38">
        <v>82</v>
      </c>
      <c r="AU275" s="38">
        <v>68</v>
      </c>
      <c r="AV275" s="38">
        <v>95</v>
      </c>
      <c r="AW275" s="38">
        <v>43</v>
      </c>
      <c r="AX275" s="38">
        <v>52</v>
      </c>
      <c r="AY275" s="38">
        <v>364</v>
      </c>
      <c r="AZ275" s="38">
        <v>166</v>
      </c>
      <c r="BA275" s="38">
        <v>198</v>
      </c>
      <c r="BB275" s="38">
        <v>13</v>
      </c>
      <c r="BC275" s="37">
        <v>3.5714285714285712</v>
      </c>
      <c r="BD275" s="40">
        <v>8</v>
      </c>
      <c r="BE275" s="37">
        <v>4.8192771084337354</v>
      </c>
      <c r="BF275" s="40">
        <v>5</v>
      </c>
      <c r="BG275" s="37">
        <v>2.5252525252525251</v>
      </c>
      <c r="BH275" s="38">
        <v>95</v>
      </c>
      <c r="BI275" s="38">
        <v>95</v>
      </c>
      <c r="BJ275" s="38">
        <v>42</v>
      </c>
      <c r="BK275" s="38">
        <v>53</v>
      </c>
      <c r="BL275" s="37">
        <v>100</v>
      </c>
      <c r="BM275" s="37">
        <v>102.38095238095238</v>
      </c>
      <c r="BN275" s="37">
        <v>98.113207547169807</v>
      </c>
      <c r="BO275" s="38">
        <v>138</v>
      </c>
      <c r="BP275" s="38">
        <v>71</v>
      </c>
      <c r="BQ275" s="38">
        <v>67</v>
      </c>
      <c r="BR275" s="37">
        <v>68.840579710144922</v>
      </c>
      <c r="BS275" s="37">
        <v>60.563380281690137</v>
      </c>
      <c r="BT275" s="37">
        <v>77.611940298507463</v>
      </c>
      <c r="BU275" s="2"/>
      <c r="BV275" s="2"/>
    </row>
    <row r="276" spans="1:74" ht="15.75" x14ac:dyDescent="0.3">
      <c r="A276" s="2" t="s">
        <v>54</v>
      </c>
      <c r="B276" s="2" t="s">
        <v>1393</v>
      </c>
      <c r="C276" s="2" t="s">
        <v>1856</v>
      </c>
      <c r="D276" s="2" t="s">
        <v>57</v>
      </c>
      <c r="E276" s="2" t="s">
        <v>95</v>
      </c>
      <c r="F276" s="2" t="s">
        <v>106</v>
      </c>
      <c r="G276" s="2" t="s">
        <v>186</v>
      </c>
      <c r="H276" s="2" t="s">
        <v>187</v>
      </c>
      <c r="I276" s="2" t="s">
        <v>62</v>
      </c>
      <c r="J276" s="2" t="s">
        <v>1559</v>
      </c>
      <c r="K276" s="2" t="s">
        <v>1560</v>
      </c>
      <c r="L276" s="2" t="s">
        <v>1561</v>
      </c>
      <c r="M276" s="2">
        <v>0</v>
      </c>
      <c r="N276" s="2" t="s">
        <v>1562</v>
      </c>
      <c r="O276" s="2" t="s">
        <v>80</v>
      </c>
      <c r="P276" s="2" t="s">
        <v>80</v>
      </c>
      <c r="Q276" s="2" t="s">
        <v>69</v>
      </c>
      <c r="R276" s="2" t="s">
        <v>70</v>
      </c>
      <c r="S276" s="2" t="s">
        <v>1563</v>
      </c>
      <c r="T276" s="2" t="s">
        <v>1564</v>
      </c>
      <c r="U276" s="2" t="s">
        <v>1565</v>
      </c>
      <c r="V276" s="2" t="s">
        <v>1564</v>
      </c>
      <c r="W276" s="2" t="s">
        <v>74</v>
      </c>
      <c r="X276" s="38">
        <v>165</v>
      </c>
      <c r="Y276" s="38">
        <v>94</v>
      </c>
      <c r="Z276" s="38">
        <v>71</v>
      </c>
      <c r="AA276" s="38">
        <v>108</v>
      </c>
      <c r="AB276" s="38">
        <v>53</v>
      </c>
      <c r="AC276" s="38">
        <v>55</v>
      </c>
      <c r="AD276" s="38">
        <v>28</v>
      </c>
      <c r="AE276" s="38">
        <v>22</v>
      </c>
      <c r="AF276" s="38">
        <v>6</v>
      </c>
      <c r="AG276" s="38">
        <v>46</v>
      </c>
      <c r="AH276" s="38">
        <v>24</v>
      </c>
      <c r="AI276" s="38">
        <v>22</v>
      </c>
      <c r="AJ276" s="38">
        <v>29</v>
      </c>
      <c r="AK276" s="37">
        <v>17.575757575757574</v>
      </c>
      <c r="AL276" s="40">
        <f t="shared" si="16"/>
        <v>19</v>
      </c>
      <c r="AM276" s="37">
        <f t="shared" si="17"/>
        <v>20.212765957446805</v>
      </c>
      <c r="AN276" s="40">
        <f t="shared" si="18"/>
        <v>10</v>
      </c>
      <c r="AO276" s="37">
        <f t="shared" si="19"/>
        <v>14.084507042253522</v>
      </c>
      <c r="AP276" s="38">
        <v>262</v>
      </c>
      <c r="AQ276" s="38">
        <v>146</v>
      </c>
      <c r="AR276" s="38">
        <v>116</v>
      </c>
      <c r="AS276" s="38">
        <v>101</v>
      </c>
      <c r="AT276" s="38">
        <v>53</v>
      </c>
      <c r="AU276" s="38">
        <v>48</v>
      </c>
      <c r="AV276" s="38">
        <v>65</v>
      </c>
      <c r="AW276" s="38">
        <v>29</v>
      </c>
      <c r="AX276" s="38">
        <v>36</v>
      </c>
      <c r="AY276" s="38">
        <v>244</v>
      </c>
      <c r="AZ276" s="38">
        <v>131</v>
      </c>
      <c r="BA276" s="38">
        <v>113</v>
      </c>
      <c r="BB276" s="38">
        <v>18</v>
      </c>
      <c r="BC276" s="37">
        <v>7.3770491803278686</v>
      </c>
      <c r="BD276" s="40">
        <v>9</v>
      </c>
      <c r="BE276" s="37">
        <v>6.8702290076335881</v>
      </c>
      <c r="BF276" s="40">
        <v>9</v>
      </c>
      <c r="BG276" s="37">
        <v>7.9646017699115044</v>
      </c>
      <c r="BH276" s="38">
        <v>65</v>
      </c>
      <c r="BI276" s="38">
        <v>64</v>
      </c>
      <c r="BJ276" s="38">
        <v>28</v>
      </c>
      <c r="BK276" s="38">
        <v>36</v>
      </c>
      <c r="BL276" s="37">
        <v>101.5625</v>
      </c>
      <c r="BM276" s="37">
        <v>103.57142857142858</v>
      </c>
      <c r="BN276" s="37">
        <v>100</v>
      </c>
      <c r="BO276" s="38">
        <v>92</v>
      </c>
      <c r="BP276" s="38">
        <v>46</v>
      </c>
      <c r="BQ276" s="38">
        <v>46</v>
      </c>
      <c r="BR276" s="37">
        <v>70.652173913043484</v>
      </c>
      <c r="BS276" s="37">
        <v>63.04347826086957</v>
      </c>
      <c r="BT276" s="37">
        <v>78.260869565217391</v>
      </c>
      <c r="BU276" s="2"/>
      <c r="BV276" s="2"/>
    </row>
    <row r="277" spans="1:74" ht="15.75" x14ac:dyDescent="0.3">
      <c r="A277" s="2" t="s">
        <v>54</v>
      </c>
      <c r="B277" s="2" t="s">
        <v>1393</v>
      </c>
      <c r="C277" s="2" t="s">
        <v>1856</v>
      </c>
      <c r="D277" s="2" t="s">
        <v>57</v>
      </c>
      <c r="E277" s="2" t="s">
        <v>95</v>
      </c>
      <c r="F277" s="2" t="s">
        <v>106</v>
      </c>
      <c r="G277" s="2" t="s">
        <v>60</v>
      </c>
      <c r="H277" s="2" t="s">
        <v>61</v>
      </c>
      <c r="I277" s="2" t="s">
        <v>178</v>
      </c>
      <c r="J277" s="2" t="s">
        <v>1566</v>
      </c>
      <c r="K277" s="2" t="s">
        <v>1566</v>
      </c>
      <c r="L277" s="2" t="s">
        <v>1567</v>
      </c>
      <c r="M277" s="2">
        <v>0</v>
      </c>
      <c r="N277" s="2" t="s">
        <v>1568</v>
      </c>
      <c r="O277" s="2" t="s">
        <v>80</v>
      </c>
      <c r="P277" s="2" t="s">
        <v>80</v>
      </c>
      <c r="Q277" s="2" t="s">
        <v>90</v>
      </c>
      <c r="R277" s="2" t="s">
        <v>91</v>
      </c>
      <c r="S277" s="2" t="s">
        <v>1569</v>
      </c>
      <c r="T277" s="2" t="s">
        <v>1570</v>
      </c>
      <c r="U277" s="2" t="s">
        <v>1571</v>
      </c>
      <c r="V277" s="2" t="s">
        <v>1570</v>
      </c>
      <c r="W277" s="2" t="s">
        <v>74</v>
      </c>
      <c r="X277" s="38">
        <v>369</v>
      </c>
      <c r="Y277" s="38">
        <v>178</v>
      </c>
      <c r="Z277" s="38">
        <v>191</v>
      </c>
      <c r="AA277" s="38">
        <v>299</v>
      </c>
      <c r="AB277" s="38">
        <v>124</v>
      </c>
      <c r="AC277" s="38">
        <v>175</v>
      </c>
      <c r="AD277" s="38">
        <v>32</v>
      </c>
      <c r="AE277" s="38">
        <v>22</v>
      </c>
      <c r="AF277" s="38">
        <v>10</v>
      </c>
      <c r="AG277" s="38">
        <v>85</v>
      </c>
      <c r="AH277" s="38">
        <v>44</v>
      </c>
      <c r="AI277" s="38">
        <v>41</v>
      </c>
      <c r="AJ277" s="38">
        <v>38</v>
      </c>
      <c r="AK277" s="37">
        <v>10.29810298102981</v>
      </c>
      <c r="AL277" s="40">
        <f t="shared" si="16"/>
        <v>32</v>
      </c>
      <c r="AM277" s="37">
        <f t="shared" si="17"/>
        <v>17.977528089887642</v>
      </c>
      <c r="AN277" s="40">
        <f t="shared" si="18"/>
        <v>6</v>
      </c>
      <c r="AO277" s="37">
        <f t="shared" si="19"/>
        <v>3.1413612565445024</v>
      </c>
      <c r="AP277" s="38">
        <v>391</v>
      </c>
      <c r="AQ277" s="38">
        <v>188</v>
      </c>
      <c r="AR277" s="38">
        <v>203</v>
      </c>
      <c r="AS277" s="38">
        <v>150</v>
      </c>
      <c r="AT277" s="38">
        <v>79</v>
      </c>
      <c r="AU277" s="38">
        <v>71</v>
      </c>
      <c r="AV277" s="38">
        <v>108</v>
      </c>
      <c r="AW277" s="38">
        <v>51</v>
      </c>
      <c r="AX277" s="38">
        <v>57</v>
      </c>
      <c r="AY277" s="38">
        <v>409</v>
      </c>
      <c r="AZ277" s="38">
        <v>222</v>
      </c>
      <c r="BA277" s="38">
        <v>187</v>
      </c>
      <c r="BB277" s="38">
        <v>60</v>
      </c>
      <c r="BC277" s="37">
        <v>14.669926650366749</v>
      </c>
      <c r="BD277" s="40">
        <v>62</v>
      </c>
      <c r="BE277" s="37">
        <v>27.927927927927925</v>
      </c>
      <c r="BF277" s="40">
        <v>-2</v>
      </c>
      <c r="BG277" s="37">
        <v>-1.0695187165775399</v>
      </c>
      <c r="BH277" s="38">
        <v>108</v>
      </c>
      <c r="BI277" s="38">
        <v>125</v>
      </c>
      <c r="BJ277" s="38">
        <v>64</v>
      </c>
      <c r="BK277" s="38">
        <v>61</v>
      </c>
      <c r="BL277" s="37">
        <v>86.4</v>
      </c>
      <c r="BM277" s="37">
        <v>79.6875</v>
      </c>
      <c r="BN277" s="37">
        <v>93.442622950819683</v>
      </c>
      <c r="BO277" s="38">
        <v>135</v>
      </c>
      <c r="BP277" s="38">
        <v>66</v>
      </c>
      <c r="BQ277" s="38">
        <v>69</v>
      </c>
      <c r="BR277" s="37">
        <v>80</v>
      </c>
      <c r="BS277" s="37">
        <v>77.272727272727266</v>
      </c>
      <c r="BT277" s="37">
        <v>82.608695652173907</v>
      </c>
      <c r="BU277" s="2"/>
      <c r="BV277" s="2"/>
    </row>
    <row r="278" spans="1:74" ht="15.75" x14ac:dyDescent="0.3">
      <c r="A278" s="2" t="s">
        <v>54</v>
      </c>
      <c r="B278" s="2" t="s">
        <v>1393</v>
      </c>
      <c r="C278" s="2" t="s">
        <v>1856</v>
      </c>
      <c r="D278" s="2" t="s">
        <v>674</v>
      </c>
      <c r="E278" s="2" t="s">
        <v>674</v>
      </c>
      <c r="F278" s="2" t="s">
        <v>675</v>
      </c>
      <c r="G278" s="2" t="s">
        <v>60</v>
      </c>
      <c r="H278" s="2" t="s">
        <v>61</v>
      </c>
      <c r="I278" s="2" t="s">
        <v>62</v>
      </c>
      <c r="J278" s="2" t="s">
        <v>63</v>
      </c>
      <c r="K278" s="2" t="s">
        <v>159</v>
      </c>
      <c r="L278" s="2" t="s">
        <v>1572</v>
      </c>
      <c r="M278" s="2">
        <v>106</v>
      </c>
      <c r="N278" s="2" t="s">
        <v>1573</v>
      </c>
      <c r="O278" s="2" t="s">
        <v>1574</v>
      </c>
      <c r="P278" s="2" t="s">
        <v>931</v>
      </c>
      <c r="Q278" s="2" t="s">
        <v>69</v>
      </c>
      <c r="R278" s="2" t="s">
        <v>70</v>
      </c>
      <c r="S278" s="2" t="s">
        <v>1575</v>
      </c>
      <c r="T278" s="2" t="s">
        <v>1576</v>
      </c>
      <c r="U278" s="2" t="s">
        <v>1577</v>
      </c>
      <c r="V278" s="2" t="s">
        <v>1576</v>
      </c>
      <c r="W278" s="2" t="s">
        <v>74</v>
      </c>
      <c r="X278" s="38">
        <v>175</v>
      </c>
      <c r="Y278" s="38">
        <v>61</v>
      </c>
      <c r="Z278" s="38">
        <v>114</v>
      </c>
      <c r="AA278" s="38">
        <v>111</v>
      </c>
      <c r="AB278" s="38">
        <v>30</v>
      </c>
      <c r="AC278" s="38">
        <v>81</v>
      </c>
      <c r="AD278" s="38">
        <v>19</v>
      </c>
      <c r="AE278" s="38">
        <v>7</v>
      </c>
      <c r="AF278" s="38">
        <v>12</v>
      </c>
      <c r="AG278" s="38">
        <v>0</v>
      </c>
      <c r="AH278" s="38">
        <v>0</v>
      </c>
      <c r="AI278" s="38">
        <v>0</v>
      </c>
      <c r="AJ278" s="38">
        <v>45</v>
      </c>
      <c r="AK278" s="37">
        <v>25.714285714285712</v>
      </c>
      <c r="AL278" s="40">
        <f t="shared" si="16"/>
        <v>24</v>
      </c>
      <c r="AM278" s="37">
        <f t="shared" si="17"/>
        <v>39.344262295081968</v>
      </c>
      <c r="AN278" s="40">
        <f t="shared" si="18"/>
        <v>21</v>
      </c>
      <c r="AO278" s="37">
        <f t="shared" si="19"/>
        <v>18.421052631578945</v>
      </c>
      <c r="AP278" s="38">
        <v>235</v>
      </c>
      <c r="AQ278" s="38">
        <v>89</v>
      </c>
      <c r="AR278" s="38">
        <v>146</v>
      </c>
      <c r="AS278" s="38">
        <v>99</v>
      </c>
      <c r="AT278" s="38">
        <v>46</v>
      </c>
      <c r="AU278" s="38">
        <v>53</v>
      </c>
      <c r="AV278" s="38">
        <v>26</v>
      </c>
      <c r="AW278" s="38">
        <v>10</v>
      </c>
      <c r="AX278" s="38">
        <v>16</v>
      </c>
      <c r="AY278" s="38">
        <v>196</v>
      </c>
      <c r="AZ278" s="38">
        <v>70</v>
      </c>
      <c r="BA278" s="38">
        <v>126</v>
      </c>
      <c r="BB278" s="38">
        <v>34</v>
      </c>
      <c r="BC278" s="37">
        <v>17.346938775510203</v>
      </c>
      <c r="BD278" s="40">
        <v>17</v>
      </c>
      <c r="BE278" s="37">
        <v>24.285714285714285</v>
      </c>
      <c r="BF278" s="40">
        <v>17</v>
      </c>
      <c r="BG278" s="37">
        <v>13.492063492063492</v>
      </c>
      <c r="BH278" s="38">
        <v>26</v>
      </c>
      <c r="BI278" s="38">
        <v>26</v>
      </c>
      <c r="BJ278" s="38">
        <v>10</v>
      </c>
      <c r="BK278" s="38">
        <v>16</v>
      </c>
      <c r="BL278" s="37">
        <v>100</v>
      </c>
      <c r="BM278" s="37">
        <v>100</v>
      </c>
      <c r="BN278" s="37">
        <v>100</v>
      </c>
      <c r="BO278" s="38">
        <v>49</v>
      </c>
      <c r="BP278" s="38">
        <v>23</v>
      </c>
      <c r="BQ278" s="38">
        <v>26</v>
      </c>
      <c r="BR278" s="37">
        <v>53.061224489795919</v>
      </c>
      <c r="BS278" s="37">
        <v>43.478260869565219</v>
      </c>
      <c r="BT278" s="37">
        <v>61.53846153846154</v>
      </c>
      <c r="BU278" s="2"/>
      <c r="BV278" s="2"/>
    </row>
    <row r="279" spans="1:74" ht="15.75" x14ac:dyDescent="0.3">
      <c r="A279" s="2" t="s">
        <v>54</v>
      </c>
      <c r="B279" s="2" t="s">
        <v>1393</v>
      </c>
      <c r="C279" s="2" t="s">
        <v>1856</v>
      </c>
      <c r="D279" s="2" t="s">
        <v>674</v>
      </c>
      <c r="E279" s="2" t="s">
        <v>674</v>
      </c>
      <c r="F279" s="2" t="s">
        <v>675</v>
      </c>
      <c r="G279" s="2" t="s">
        <v>60</v>
      </c>
      <c r="H279" s="2" t="s">
        <v>61</v>
      </c>
      <c r="I279" s="2" t="s">
        <v>62</v>
      </c>
      <c r="J279" s="2" t="s">
        <v>63</v>
      </c>
      <c r="K279" s="2" t="s">
        <v>159</v>
      </c>
      <c r="L279" s="2" t="s">
        <v>1578</v>
      </c>
      <c r="M279" s="2">
        <v>9</v>
      </c>
      <c r="N279" s="2" t="s">
        <v>1579</v>
      </c>
      <c r="O279" s="2" t="s">
        <v>1580</v>
      </c>
      <c r="P279" s="2" t="s">
        <v>80</v>
      </c>
      <c r="Q279" s="2" t="s">
        <v>69</v>
      </c>
      <c r="R279" s="2" t="s">
        <v>70</v>
      </c>
      <c r="S279" s="2" t="s">
        <v>1581</v>
      </c>
      <c r="T279" s="2" t="s">
        <v>1582</v>
      </c>
      <c r="U279" s="2" t="s">
        <v>1583</v>
      </c>
      <c r="V279" s="2" t="s">
        <v>1582</v>
      </c>
      <c r="W279" s="2" t="s">
        <v>74</v>
      </c>
      <c r="X279" s="38">
        <v>95</v>
      </c>
      <c r="Y279" s="38">
        <v>30</v>
      </c>
      <c r="Z279" s="38">
        <v>65</v>
      </c>
      <c r="AA279" s="38">
        <v>85</v>
      </c>
      <c r="AB279" s="38">
        <v>27</v>
      </c>
      <c r="AC279" s="38">
        <v>58</v>
      </c>
      <c r="AD279" s="38">
        <v>0</v>
      </c>
      <c r="AE279" s="38">
        <v>0</v>
      </c>
      <c r="AF279" s="38">
        <v>0</v>
      </c>
      <c r="AG279" s="38">
        <v>0</v>
      </c>
      <c r="AH279" s="38">
        <v>0</v>
      </c>
      <c r="AI279" s="38">
        <v>0</v>
      </c>
      <c r="AJ279" s="38">
        <v>10</v>
      </c>
      <c r="AK279" s="37">
        <v>10.526315789473683</v>
      </c>
      <c r="AL279" s="40">
        <f t="shared" si="16"/>
        <v>3</v>
      </c>
      <c r="AM279" s="37">
        <f t="shared" si="17"/>
        <v>10</v>
      </c>
      <c r="AN279" s="40">
        <f t="shared" si="18"/>
        <v>7</v>
      </c>
      <c r="AO279" s="37">
        <f t="shared" si="19"/>
        <v>10.76923076923077</v>
      </c>
      <c r="AP279" s="38">
        <v>117</v>
      </c>
      <c r="AQ279" s="38">
        <v>39</v>
      </c>
      <c r="AR279" s="38">
        <v>78</v>
      </c>
      <c r="AS279" s="38">
        <v>64</v>
      </c>
      <c r="AT279" s="38">
        <v>23</v>
      </c>
      <c r="AU279" s="38">
        <v>41</v>
      </c>
      <c r="AV279" s="38">
        <v>0</v>
      </c>
      <c r="AW279" s="38">
        <v>0</v>
      </c>
      <c r="AX279" s="38">
        <v>0</v>
      </c>
      <c r="AY279" s="38">
        <v>108</v>
      </c>
      <c r="AZ279" s="38">
        <v>35</v>
      </c>
      <c r="BA279" s="38">
        <v>73</v>
      </c>
      <c r="BB279" s="38">
        <v>55</v>
      </c>
      <c r="BC279" s="37">
        <v>50.925925925925931</v>
      </c>
      <c r="BD279" s="40">
        <v>19</v>
      </c>
      <c r="BE279" s="37">
        <v>54.285714285714285</v>
      </c>
      <c r="BF279" s="40">
        <v>36</v>
      </c>
      <c r="BG279" s="37">
        <v>49.315068493150683</v>
      </c>
      <c r="BH279" s="38">
        <v>0</v>
      </c>
      <c r="BI279" s="38">
        <v>0</v>
      </c>
      <c r="BJ279" s="38">
        <v>0</v>
      </c>
      <c r="BK279" s="38">
        <v>0</v>
      </c>
      <c r="BL279" s="42" t="s">
        <v>1860</v>
      </c>
      <c r="BM279" s="37" t="s">
        <v>1860</v>
      </c>
      <c r="BN279" s="37" t="s">
        <v>1860</v>
      </c>
      <c r="BO279" s="38">
        <v>37</v>
      </c>
      <c r="BP279" s="38">
        <v>16</v>
      </c>
      <c r="BQ279" s="38">
        <v>21</v>
      </c>
      <c r="BR279" s="37">
        <v>0</v>
      </c>
      <c r="BS279" s="37">
        <v>0</v>
      </c>
      <c r="BT279" s="37">
        <v>0</v>
      </c>
      <c r="BU279" s="2"/>
      <c r="BV279" s="2"/>
    </row>
    <row r="280" spans="1:74" ht="15.75" x14ac:dyDescent="0.3">
      <c r="A280" s="2" t="s">
        <v>54</v>
      </c>
      <c r="B280" s="2" t="s">
        <v>1393</v>
      </c>
      <c r="C280" s="2" t="s">
        <v>1856</v>
      </c>
      <c r="D280" s="2" t="s">
        <v>674</v>
      </c>
      <c r="E280" s="2" t="s">
        <v>674</v>
      </c>
      <c r="F280" s="2" t="s">
        <v>675</v>
      </c>
      <c r="G280" s="2" t="s">
        <v>60</v>
      </c>
      <c r="H280" s="2" t="s">
        <v>61</v>
      </c>
      <c r="I280" s="2" t="s">
        <v>62</v>
      </c>
      <c r="J280" s="2" t="s">
        <v>63</v>
      </c>
      <c r="K280" s="2" t="s">
        <v>159</v>
      </c>
      <c r="L280" s="2" t="s">
        <v>1578</v>
      </c>
      <c r="M280" s="2">
        <v>9</v>
      </c>
      <c r="N280" s="2" t="s">
        <v>1579</v>
      </c>
      <c r="O280" s="2" t="s">
        <v>1580</v>
      </c>
      <c r="P280" s="2" t="s">
        <v>80</v>
      </c>
      <c r="Q280" s="2" t="s">
        <v>69</v>
      </c>
      <c r="R280" s="2" t="s">
        <v>70</v>
      </c>
      <c r="S280" s="2" t="s">
        <v>1581</v>
      </c>
      <c r="T280" s="2" t="s">
        <v>1582</v>
      </c>
      <c r="U280" s="2" t="s">
        <v>1583</v>
      </c>
      <c r="V280" s="2" t="s">
        <v>1582</v>
      </c>
      <c r="W280" s="2" t="s">
        <v>113</v>
      </c>
      <c r="X280" s="38">
        <v>21</v>
      </c>
      <c r="Y280" s="38">
        <v>6</v>
      </c>
      <c r="Z280" s="38">
        <v>15</v>
      </c>
      <c r="AA280" s="38">
        <v>21</v>
      </c>
      <c r="AB280" s="38">
        <v>6</v>
      </c>
      <c r="AC280" s="38">
        <v>15</v>
      </c>
      <c r="AD280" s="38">
        <v>0</v>
      </c>
      <c r="AE280" s="38">
        <v>0</v>
      </c>
      <c r="AF280" s="38">
        <v>0</v>
      </c>
      <c r="AG280" s="38">
        <v>11</v>
      </c>
      <c r="AH280" s="38">
        <v>2</v>
      </c>
      <c r="AI280" s="38">
        <v>9</v>
      </c>
      <c r="AJ280" s="38">
        <v>0</v>
      </c>
      <c r="AK280" s="37">
        <v>0</v>
      </c>
      <c r="AL280" s="40">
        <f t="shared" si="16"/>
        <v>0</v>
      </c>
      <c r="AM280" s="37">
        <f t="shared" si="17"/>
        <v>0</v>
      </c>
      <c r="AN280" s="40">
        <f t="shared" si="18"/>
        <v>0</v>
      </c>
      <c r="AO280" s="37">
        <f t="shared" si="19"/>
        <v>0</v>
      </c>
      <c r="AP280" s="38">
        <v>34</v>
      </c>
      <c r="AQ280" s="38">
        <v>12</v>
      </c>
      <c r="AR280" s="38">
        <v>22</v>
      </c>
      <c r="AS280" s="38">
        <v>1</v>
      </c>
      <c r="AT280" s="38">
        <v>1</v>
      </c>
      <c r="AU280" s="38">
        <v>0</v>
      </c>
      <c r="AV280" s="38">
        <v>21</v>
      </c>
      <c r="AW280" s="38">
        <v>6</v>
      </c>
      <c r="AX280" s="38">
        <v>15</v>
      </c>
      <c r="AY280" s="38">
        <v>21</v>
      </c>
      <c r="AZ280" s="38">
        <v>6</v>
      </c>
      <c r="BA280" s="38">
        <v>15</v>
      </c>
      <c r="BB280" s="38">
        <v>-33</v>
      </c>
      <c r="BC280" s="37">
        <v>-157.14285714285714</v>
      </c>
      <c r="BD280" s="40">
        <v>-11</v>
      </c>
      <c r="BE280" s="37">
        <v>-183.33333333333331</v>
      </c>
      <c r="BF280" s="40">
        <v>-22</v>
      </c>
      <c r="BG280" s="37">
        <v>-146.66666666666666</v>
      </c>
      <c r="BH280" s="38">
        <v>21</v>
      </c>
      <c r="BI280" s="38">
        <v>21</v>
      </c>
      <c r="BJ280" s="38">
        <v>6</v>
      </c>
      <c r="BK280" s="38">
        <v>15</v>
      </c>
      <c r="BL280" s="37">
        <v>100</v>
      </c>
      <c r="BM280" s="37">
        <v>100</v>
      </c>
      <c r="BN280" s="37">
        <v>100</v>
      </c>
      <c r="BO280" s="38">
        <v>0</v>
      </c>
      <c r="BP280" s="38">
        <v>0</v>
      </c>
      <c r="BQ280" s="38">
        <v>0</v>
      </c>
      <c r="BR280" s="37" t="s">
        <v>1860</v>
      </c>
      <c r="BS280" s="37" t="s">
        <v>1860</v>
      </c>
      <c r="BT280" s="37" t="s">
        <v>1860</v>
      </c>
      <c r="BU280" s="2"/>
      <c r="BV280" s="2"/>
    </row>
    <row r="281" spans="1:74" ht="15.75" x14ac:dyDescent="0.3">
      <c r="A281" s="2" t="s">
        <v>54</v>
      </c>
      <c r="B281" s="2" t="s">
        <v>1393</v>
      </c>
      <c r="C281" s="2" t="s">
        <v>1856</v>
      </c>
      <c r="D281" s="2" t="s">
        <v>674</v>
      </c>
      <c r="E281" s="2" t="s">
        <v>674</v>
      </c>
      <c r="F281" s="2" t="s">
        <v>675</v>
      </c>
      <c r="G281" s="2" t="s">
        <v>60</v>
      </c>
      <c r="H281" s="2" t="s">
        <v>61</v>
      </c>
      <c r="I281" s="2" t="s">
        <v>62</v>
      </c>
      <c r="J281" s="2" t="s">
        <v>63</v>
      </c>
      <c r="K281" s="2" t="s">
        <v>159</v>
      </c>
      <c r="L281" s="2" t="s">
        <v>1584</v>
      </c>
      <c r="M281" s="2">
        <v>47</v>
      </c>
      <c r="N281" s="2" t="s">
        <v>1585</v>
      </c>
      <c r="O281" s="2" t="s">
        <v>1586</v>
      </c>
      <c r="P281" s="2" t="s">
        <v>80</v>
      </c>
      <c r="Q281" s="2" t="s">
        <v>69</v>
      </c>
      <c r="R281" s="2" t="s">
        <v>70</v>
      </c>
      <c r="S281" s="2" t="s">
        <v>1587</v>
      </c>
      <c r="T281" s="2" t="s">
        <v>1588</v>
      </c>
      <c r="U281" s="2" t="s">
        <v>1589</v>
      </c>
      <c r="V281" s="2" t="s">
        <v>1588</v>
      </c>
      <c r="W281" s="2" t="s">
        <v>74</v>
      </c>
      <c r="X281" s="38">
        <v>60</v>
      </c>
      <c r="Y281" s="38">
        <v>22</v>
      </c>
      <c r="Z281" s="38">
        <v>38</v>
      </c>
      <c r="AA281" s="38">
        <v>57</v>
      </c>
      <c r="AB281" s="38">
        <v>22</v>
      </c>
      <c r="AC281" s="38">
        <v>35</v>
      </c>
      <c r="AD281" s="38">
        <v>0</v>
      </c>
      <c r="AE281" s="38">
        <v>0</v>
      </c>
      <c r="AF281" s="38">
        <v>0</v>
      </c>
      <c r="AG281" s="38">
        <v>0</v>
      </c>
      <c r="AH281" s="38">
        <v>0</v>
      </c>
      <c r="AI281" s="38">
        <v>0</v>
      </c>
      <c r="AJ281" s="38">
        <v>3</v>
      </c>
      <c r="AK281" s="37">
        <v>5</v>
      </c>
      <c r="AL281" s="40">
        <f t="shared" si="16"/>
        <v>0</v>
      </c>
      <c r="AM281" s="37">
        <f t="shared" si="17"/>
        <v>0</v>
      </c>
      <c r="AN281" s="40">
        <f t="shared" si="18"/>
        <v>3</v>
      </c>
      <c r="AO281" s="37">
        <f t="shared" si="19"/>
        <v>7.8947368421052628</v>
      </c>
      <c r="AP281" s="38">
        <v>73</v>
      </c>
      <c r="AQ281" s="38">
        <v>28</v>
      </c>
      <c r="AR281" s="38">
        <v>45</v>
      </c>
      <c r="AS281" s="38">
        <v>32</v>
      </c>
      <c r="AT281" s="38">
        <v>11</v>
      </c>
      <c r="AU281" s="38">
        <v>21</v>
      </c>
      <c r="AV281" s="38">
        <v>15</v>
      </c>
      <c r="AW281" s="38">
        <v>4</v>
      </c>
      <c r="AX281" s="38">
        <v>11</v>
      </c>
      <c r="AY281" s="38">
        <v>66</v>
      </c>
      <c r="AZ281" s="38">
        <v>27</v>
      </c>
      <c r="BA281" s="38">
        <v>39</v>
      </c>
      <c r="BB281" s="38">
        <v>10</v>
      </c>
      <c r="BC281" s="37">
        <v>15.151515151515152</v>
      </c>
      <c r="BD281" s="40">
        <v>6</v>
      </c>
      <c r="BE281" s="37">
        <v>22.222222222222221</v>
      </c>
      <c r="BF281" s="40">
        <v>4</v>
      </c>
      <c r="BG281" s="37">
        <v>10.256410256410255</v>
      </c>
      <c r="BH281" s="38">
        <v>15</v>
      </c>
      <c r="BI281" s="38">
        <v>15</v>
      </c>
      <c r="BJ281" s="38">
        <v>4</v>
      </c>
      <c r="BK281" s="38">
        <v>11</v>
      </c>
      <c r="BL281" s="37">
        <v>100</v>
      </c>
      <c r="BM281" s="37">
        <v>100</v>
      </c>
      <c r="BN281" s="37">
        <v>100</v>
      </c>
      <c r="BO281" s="38">
        <v>22</v>
      </c>
      <c r="BP281" s="38">
        <v>5</v>
      </c>
      <c r="BQ281" s="38">
        <v>17</v>
      </c>
      <c r="BR281" s="37">
        <v>68.181818181818173</v>
      </c>
      <c r="BS281" s="37">
        <v>80</v>
      </c>
      <c r="BT281" s="37">
        <v>64.705882352941174</v>
      </c>
      <c r="BU281" s="2"/>
      <c r="BV281" s="2"/>
    </row>
    <row r="282" spans="1:74" ht="15.75" x14ac:dyDescent="0.3">
      <c r="A282" s="2" t="s">
        <v>54</v>
      </c>
      <c r="B282" s="2" t="s">
        <v>1393</v>
      </c>
      <c r="C282" s="2" t="s">
        <v>1856</v>
      </c>
      <c r="D282" s="2" t="s">
        <v>674</v>
      </c>
      <c r="E282" s="2" t="s">
        <v>674</v>
      </c>
      <c r="F282" s="2" t="s">
        <v>675</v>
      </c>
      <c r="G282" s="2" t="s">
        <v>60</v>
      </c>
      <c r="H282" s="2" t="s">
        <v>61</v>
      </c>
      <c r="I282" s="2" t="s">
        <v>62</v>
      </c>
      <c r="J282" s="2" t="s">
        <v>63</v>
      </c>
      <c r="K282" s="2" t="s">
        <v>159</v>
      </c>
      <c r="L282" s="2" t="s">
        <v>1584</v>
      </c>
      <c r="M282" s="2">
        <v>47</v>
      </c>
      <c r="N282" s="2" t="s">
        <v>1585</v>
      </c>
      <c r="O282" s="2" t="s">
        <v>1586</v>
      </c>
      <c r="P282" s="2" t="s">
        <v>80</v>
      </c>
      <c r="Q282" s="2" t="s">
        <v>69</v>
      </c>
      <c r="R282" s="2" t="s">
        <v>70</v>
      </c>
      <c r="S282" s="2" t="s">
        <v>1587</v>
      </c>
      <c r="T282" s="2" t="s">
        <v>1588</v>
      </c>
      <c r="U282" s="2" t="s">
        <v>1589</v>
      </c>
      <c r="V282" s="2" t="s">
        <v>1588</v>
      </c>
      <c r="W282" s="2" t="s">
        <v>113</v>
      </c>
      <c r="X282" s="38">
        <v>13</v>
      </c>
      <c r="Y282" s="38">
        <v>6</v>
      </c>
      <c r="Z282" s="38">
        <v>7</v>
      </c>
      <c r="AA282" s="38">
        <v>13</v>
      </c>
      <c r="AB282" s="38">
        <v>6</v>
      </c>
      <c r="AC282" s="38">
        <v>7</v>
      </c>
      <c r="AD282" s="38">
        <v>0</v>
      </c>
      <c r="AE282" s="38">
        <v>0</v>
      </c>
      <c r="AF282" s="38">
        <v>0</v>
      </c>
      <c r="AG282" s="38">
        <v>0</v>
      </c>
      <c r="AH282" s="38">
        <v>0</v>
      </c>
      <c r="AI282" s="38">
        <v>0</v>
      </c>
      <c r="AJ282" s="38">
        <v>0</v>
      </c>
      <c r="AK282" s="37">
        <v>0</v>
      </c>
      <c r="AL282" s="40">
        <f t="shared" si="16"/>
        <v>0</v>
      </c>
      <c r="AM282" s="37">
        <f t="shared" si="17"/>
        <v>0</v>
      </c>
      <c r="AN282" s="40">
        <f t="shared" si="18"/>
        <v>0</v>
      </c>
      <c r="AO282" s="37">
        <f t="shared" si="19"/>
        <v>0</v>
      </c>
      <c r="AP282" s="38">
        <v>6</v>
      </c>
      <c r="AQ282" s="38">
        <v>5</v>
      </c>
      <c r="AR282" s="38">
        <v>1</v>
      </c>
      <c r="AS282" s="38">
        <v>0</v>
      </c>
      <c r="AT282" s="38">
        <v>0</v>
      </c>
      <c r="AU282" s="38">
        <v>0</v>
      </c>
      <c r="AV282" s="38">
        <v>7</v>
      </c>
      <c r="AW282" s="38">
        <v>1</v>
      </c>
      <c r="AX282" s="38">
        <v>6</v>
      </c>
      <c r="AY282" s="38">
        <v>13</v>
      </c>
      <c r="AZ282" s="38">
        <v>6</v>
      </c>
      <c r="BA282" s="38">
        <v>7</v>
      </c>
      <c r="BB282" s="38">
        <v>0</v>
      </c>
      <c r="BC282" s="37">
        <v>0</v>
      </c>
      <c r="BD282" s="40">
        <v>0</v>
      </c>
      <c r="BE282" s="37">
        <v>0</v>
      </c>
      <c r="BF282" s="40">
        <v>0</v>
      </c>
      <c r="BG282" s="37">
        <v>0</v>
      </c>
      <c r="BH282" s="38">
        <v>7</v>
      </c>
      <c r="BI282" s="38">
        <v>7</v>
      </c>
      <c r="BJ282" s="38">
        <v>1</v>
      </c>
      <c r="BK282" s="38">
        <v>6</v>
      </c>
      <c r="BL282" s="37">
        <v>100</v>
      </c>
      <c r="BM282" s="37">
        <v>100</v>
      </c>
      <c r="BN282" s="37">
        <v>100</v>
      </c>
      <c r="BO282" s="38">
        <v>15</v>
      </c>
      <c r="BP282" s="38">
        <v>5</v>
      </c>
      <c r="BQ282" s="38">
        <v>10</v>
      </c>
      <c r="BR282" s="37">
        <v>46.666666666666664</v>
      </c>
      <c r="BS282" s="37">
        <v>20</v>
      </c>
      <c r="BT282" s="37">
        <v>60</v>
      </c>
      <c r="BU282" s="2"/>
      <c r="BV282" s="2"/>
    </row>
    <row r="283" spans="1:74" ht="15.75" x14ac:dyDescent="0.3">
      <c r="A283" s="2" t="s">
        <v>54</v>
      </c>
      <c r="B283" s="2" t="s">
        <v>1393</v>
      </c>
      <c r="C283" s="2" t="s">
        <v>1856</v>
      </c>
      <c r="D283" s="2" t="s">
        <v>674</v>
      </c>
      <c r="E283" s="2" t="s">
        <v>674</v>
      </c>
      <c r="F283" s="2" t="s">
        <v>675</v>
      </c>
      <c r="G283" s="2" t="s">
        <v>60</v>
      </c>
      <c r="H283" s="2" t="s">
        <v>61</v>
      </c>
      <c r="I283" s="2" t="s">
        <v>62</v>
      </c>
      <c r="J283" s="2" t="s">
        <v>63</v>
      </c>
      <c r="K283" s="2" t="s">
        <v>1590</v>
      </c>
      <c r="L283" s="2" t="s">
        <v>989</v>
      </c>
      <c r="M283" s="2">
        <v>319</v>
      </c>
      <c r="N283" s="2" t="s">
        <v>1591</v>
      </c>
      <c r="O283" s="2" t="s">
        <v>1592</v>
      </c>
      <c r="P283" s="2" t="s">
        <v>80</v>
      </c>
      <c r="Q283" s="2" t="s">
        <v>69</v>
      </c>
      <c r="R283" s="2" t="s">
        <v>70</v>
      </c>
      <c r="S283" s="2" t="s">
        <v>1593</v>
      </c>
      <c r="T283" s="2" t="s">
        <v>1594</v>
      </c>
      <c r="U283" s="2" t="s">
        <v>1595</v>
      </c>
      <c r="V283" s="2" t="s">
        <v>1594</v>
      </c>
      <c r="W283" s="2" t="s">
        <v>74</v>
      </c>
      <c r="X283" s="38">
        <v>133</v>
      </c>
      <c r="Y283" s="38">
        <v>37</v>
      </c>
      <c r="Z283" s="38">
        <v>96</v>
      </c>
      <c r="AA283" s="38">
        <v>133</v>
      </c>
      <c r="AB283" s="38">
        <v>37</v>
      </c>
      <c r="AC283" s="38">
        <v>96</v>
      </c>
      <c r="AD283" s="38">
        <v>0</v>
      </c>
      <c r="AE283" s="38">
        <v>0</v>
      </c>
      <c r="AF283" s="38">
        <v>0</v>
      </c>
      <c r="AG283" s="38">
        <v>0</v>
      </c>
      <c r="AH283" s="38">
        <v>0</v>
      </c>
      <c r="AI283" s="38">
        <v>0</v>
      </c>
      <c r="AJ283" s="38">
        <v>0</v>
      </c>
      <c r="AK283" s="37">
        <v>0</v>
      </c>
      <c r="AL283" s="40">
        <f t="shared" si="16"/>
        <v>0</v>
      </c>
      <c r="AM283" s="37">
        <f t="shared" si="17"/>
        <v>0</v>
      </c>
      <c r="AN283" s="40">
        <f t="shared" si="18"/>
        <v>0</v>
      </c>
      <c r="AO283" s="37">
        <f t="shared" si="19"/>
        <v>0</v>
      </c>
      <c r="AP283" s="38">
        <v>218</v>
      </c>
      <c r="AQ283" s="38">
        <v>61</v>
      </c>
      <c r="AR283" s="38">
        <v>157</v>
      </c>
      <c r="AS283" s="38">
        <v>109</v>
      </c>
      <c r="AT283" s="38">
        <v>33</v>
      </c>
      <c r="AU283" s="38">
        <v>76</v>
      </c>
      <c r="AV283" s="38">
        <v>17</v>
      </c>
      <c r="AW283" s="38">
        <v>2</v>
      </c>
      <c r="AX283" s="38">
        <v>15</v>
      </c>
      <c r="AY283" s="38">
        <v>174</v>
      </c>
      <c r="AZ283" s="38">
        <v>48</v>
      </c>
      <c r="BA283" s="38">
        <v>126</v>
      </c>
      <c r="BB283" s="38">
        <v>48</v>
      </c>
      <c r="BC283" s="37">
        <v>27.586206896551722</v>
      </c>
      <c r="BD283" s="40">
        <v>18</v>
      </c>
      <c r="BE283" s="37">
        <v>37.5</v>
      </c>
      <c r="BF283" s="40">
        <v>30</v>
      </c>
      <c r="BG283" s="37">
        <v>23.809523809523807</v>
      </c>
      <c r="BH283" s="38">
        <v>17</v>
      </c>
      <c r="BI283" s="38">
        <v>32</v>
      </c>
      <c r="BJ283" s="38">
        <v>11</v>
      </c>
      <c r="BK283" s="38">
        <v>21</v>
      </c>
      <c r="BL283" s="37">
        <v>53.125</v>
      </c>
      <c r="BM283" s="37">
        <v>18.181818181818183</v>
      </c>
      <c r="BN283" s="37">
        <v>71.428571428571431</v>
      </c>
      <c r="BO283" s="38">
        <v>48</v>
      </c>
      <c r="BP283" s="38">
        <v>18</v>
      </c>
      <c r="BQ283" s="38">
        <v>30</v>
      </c>
      <c r="BR283" s="37">
        <v>35.416666666666671</v>
      </c>
      <c r="BS283" s="37">
        <v>11.111111111111111</v>
      </c>
      <c r="BT283" s="37">
        <v>50</v>
      </c>
      <c r="BU283" s="2"/>
      <c r="BV283" s="2"/>
    </row>
    <row r="284" spans="1:74" ht="15.75" x14ac:dyDescent="0.3">
      <c r="A284" s="2" t="s">
        <v>54</v>
      </c>
      <c r="B284" s="2" t="s">
        <v>1393</v>
      </c>
      <c r="C284" s="2" t="s">
        <v>1856</v>
      </c>
      <c r="D284" s="2" t="s">
        <v>674</v>
      </c>
      <c r="E284" s="2" t="s">
        <v>674</v>
      </c>
      <c r="F284" s="2" t="s">
        <v>675</v>
      </c>
      <c r="G284" s="2" t="s">
        <v>60</v>
      </c>
      <c r="H284" s="2" t="s">
        <v>61</v>
      </c>
      <c r="I284" s="2" t="s">
        <v>62</v>
      </c>
      <c r="J284" s="2" t="s">
        <v>63</v>
      </c>
      <c r="K284" s="2" t="s">
        <v>159</v>
      </c>
      <c r="L284" s="2" t="s">
        <v>1596</v>
      </c>
      <c r="M284" s="2">
        <v>22</v>
      </c>
      <c r="N284" s="2" t="s">
        <v>1597</v>
      </c>
      <c r="O284" s="2" t="s">
        <v>1598</v>
      </c>
      <c r="P284" s="2" t="s">
        <v>80</v>
      </c>
      <c r="Q284" s="2" t="s">
        <v>69</v>
      </c>
      <c r="R284" s="2" t="s">
        <v>70</v>
      </c>
      <c r="S284" s="2" t="s">
        <v>1599</v>
      </c>
      <c r="T284" s="2" t="s">
        <v>1600</v>
      </c>
      <c r="U284" s="2" t="s">
        <v>1601</v>
      </c>
      <c r="V284" s="2" t="s">
        <v>1600</v>
      </c>
      <c r="W284" s="2" t="s">
        <v>74</v>
      </c>
      <c r="X284" s="38">
        <v>325</v>
      </c>
      <c r="Y284" s="38">
        <v>118</v>
      </c>
      <c r="Z284" s="38">
        <v>207</v>
      </c>
      <c r="AA284" s="38">
        <v>249</v>
      </c>
      <c r="AB284" s="38">
        <v>78</v>
      </c>
      <c r="AC284" s="38">
        <v>171</v>
      </c>
      <c r="AD284" s="38">
        <v>50</v>
      </c>
      <c r="AE284" s="38">
        <v>24</v>
      </c>
      <c r="AF284" s="38">
        <v>26</v>
      </c>
      <c r="AG284" s="38">
        <v>0</v>
      </c>
      <c r="AH284" s="38">
        <v>0</v>
      </c>
      <c r="AI284" s="38">
        <v>0</v>
      </c>
      <c r="AJ284" s="38">
        <v>26</v>
      </c>
      <c r="AK284" s="37">
        <v>8</v>
      </c>
      <c r="AL284" s="40">
        <f t="shared" si="16"/>
        <v>16</v>
      </c>
      <c r="AM284" s="37">
        <f t="shared" si="17"/>
        <v>13.559322033898304</v>
      </c>
      <c r="AN284" s="40">
        <f t="shared" si="18"/>
        <v>10</v>
      </c>
      <c r="AO284" s="37">
        <f t="shared" si="19"/>
        <v>4.8309178743961354</v>
      </c>
      <c r="AP284" s="38">
        <v>370</v>
      </c>
      <c r="AQ284" s="38">
        <v>140</v>
      </c>
      <c r="AR284" s="38">
        <v>230</v>
      </c>
      <c r="AS284" s="38">
        <v>138</v>
      </c>
      <c r="AT284" s="38">
        <v>53</v>
      </c>
      <c r="AU284" s="38">
        <v>85</v>
      </c>
      <c r="AV284" s="38">
        <v>102</v>
      </c>
      <c r="AW284" s="38">
        <v>35</v>
      </c>
      <c r="AX284" s="38">
        <v>67</v>
      </c>
      <c r="AY284" s="38">
        <v>393</v>
      </c>
      <c r="AZ284" s="38">
        <v>141</v>
      </c>
      <c r="BA284" s="38">
        <v>252</v>
      </c>
      <c r="BB284" s="38">
        <v>59</v>
      </c>
      <c r="BC284" s="37">
        <v>15.012722646310433</v>
      </c>
      <c r="BD284" s="40">
        <v>19</v>
      </c>
      <c r="BE284" s="37">
        <v>13.475177304964539</v>
      </c>
      <c r="BF284" s="40">
        <v>40</v>
      </c>
      <c r="BG284" s="37">
        <v>15.873015873015872</v>
      </c>
      <c r="BH284" s="38">
        <v>102</v>
      </c>
      <c r="BI284" s="38">
        <v>101</v>
      </c>
      <c r="BJ284" s="38">
        <v>30</v>
      </c>
      <c r="BK284" s="38">
        <v>71</v>
      </c>
      <c r="BL284" s="37">
        <v>100.99009900990099</v>
      </c>
      <c r="BM284" s="37">
        <v>116.66666666666667</v>
      </c>
      <c r="BN284" s="37">
        <v>94.366197183098592</v>
      </c>
      <c r="BO284" s="38">
        <v>128</v>
      </c>
      <c r="BP284" s="38">
        <v>44</v>
      </c>
      <c r="BQ284" s="38">
        <v>84</v>
      </c>
      <c r="BR284" s="37">
        <v>79.6875</v>
      </c>
      <c r="BS284" s="37">
        <v>79.545454545454547</v>
      </c>
      <c r="BT284" s="37">
        <v>79.761904761904773</v>
      </c>
      <c r="BU284" s="2"/>
      <c r="BV284" s="2"/>
    </row>
    <row r="285" spans="1:74" ht="15.75" x14ac:dyDescent="0.3">
      <c r="A285" s="2" t="s">
        <v>54</v>
      </c>
      <c r="B285" s="2" t="s">
        <v>1393</v>
      </c>
      <c r="C285" s="2" t="s">
        <v>1856</v>
      </c>
      <c r="D285" s="2" t="s">
        <v>674</v>
      </c>
      <c r="E285" s="2" t="s">
        <v>674</v>
      </c>
      <c r="F285" s="2" t="s">
        <v>675</v>
      </c>
      <c r="G285" s="2" t="s">
        <v>60</v>
      </c>
      <c r="H285" s="2" t="s">
        <v>61</v>
      </c>
      <c r="I285" s="2" t="s">
        <v>188</v>
      </c>
      <c r="J285" s="2" t="s">
        <v>188</v>
      </c>
      <c r="K285" s="2" t="s">
        <v>1043</v>
      </c>
      <c r="L285" s="2" t="s">
        <v>1044</v>
      </c>
      <c r="M285" s="2">
        <v>142</v>
      </c>
      <c r="N285" s="2" t="s">
        <v>1602</v>
      </c>
      <c r="O285" s="2" t="s">
        <v>1046</v>
      </c>
      <c r="P285" s="2" t="s">
        <v>80</v>
      </c>
      <c r="Q285" s="2" t="s">
        <v>144</v>
      </c>
      <c r="R285" s="2" t="s">
        <v>145</v>
      </c>
      <c r="S285" s="2" t="s">
        <v>1047</v>
      </c>
      <c r="T285" s="2" t="s">
        <v>1048</v>
      </c>
      <c r="U285" s="2" t="s">
        <v>1603</v>
      </c>
      <c r="V285" s="2" t="s">
        <v>1048</v>
      </c>
      <c r="W285" s="2" t="s">
        <v>74</v>
      </c>
      <c r="X285" s="38">
        <v>46</v>
      </c>
      <c r="Y285" s="38">
        <v>25</v>
      </c>
      <c r="Z285" s="38">
        <v>21</v>
      </c>
      <c r="AA285" s="38">
        <v>46</v>
      </c>
      <c r="AB285" s="38">
        <v>25</v>
      </c>
      <c r="AC285" s="38">
        <v>21</v>
      </c>
      <c r="AD285" s="38">
        <v>0</v>
      </c>
      <c r="AE285" s="38">
        <v>0</v>
      </c>
      <c r="AF285" s="38">
        <v>0</v>
      </c>
      <c r="AG285" s="38">
        <v>0</v>
      </c>
      <c r="AH285" s="38">
        <v>0</v>
      </c>
      <c r="AI285" s="38">
        <v>0</v>
      </c>
      <c r="AJ285" s="38">
        <v>0</v>
      </c>
      <c r="AK285" s="37">
        <v>0</v>
      </c>
      <c r="AL285" s="40">
        <f t="shared" si="16"/>
        <v>0</v>
      </c>
      <c r="AM285" s="37">
        <f t="shared" si="17"/>
        <v>0</v>
      </c>
      <c r="AN285" s="40">
        <f t="shared" si="18"/>
        <v>0</v>
      </c>
      <c r="AO285" s="37">
        <f t="shared" si="19"/>
        <v>0</v>
      </c>
      <c r="AP285" s="38">
        <v>48</v>
      </c>
      <c r="AQ285" s="38">
        <v>22</v>
      </c>
      <c r="AR285" s="38">
        <v>26</v>
      </c>
      <c r="AS285" s="38">
        <v>17</v>
      </c>
      <c r="AT285" s="38">
        <v>7</v>
      </c>
      <c r="AU285" s="38">
        <v>10</v>
      </c>
      <c r="AV285" s="38">
        <v>8</v>
      </c>
      <c r="AW285" s="38">
        <v>4</v>
      </c>
      <c r="AX285" s="38">
        <v>4</v>
      </c>
      <c r="AY285" s="38">
        <v>51</v>
      </c>
      <c r="AZ285" s="38">
        <v>28</v>
      </c>
      <c r="BA285" s="38">
        <v>23</v>
      </c>
      <c r="BB285" s="38">
        <v>12</v>
      </c>
      <c r="BC285" s="37">
        <v>23.52941176470588</v>
      </c>
      <c r="BD285" s="40">
        <v>9</v>
      </c>
      <c r="BE285" s="37">
        <v>32.142857142857146</v>
      </c>
      <c r="BF285" s="40">
        <v>3</v>
      </c>
      <c r="BG285" s="37">
        <v>13.043478260869565</v>
      </c>
      <c r="BH285" s="38">
        <v>8</v>
      </c>
      <c r="BI285" s="38">
        <v>8</v>
      </c>
      <c r="BJ285" s="38">
        <v>4</v>
      </c>
      <c r="BK285" s="38">
        <v>4</v>
      </c>
      <c r="BL285" s="37">
        <v>100</v>
      </c>
      <c r="BM285" s="37">
        <v>100</v>
      </c>
      <c r="BN285" s="37">
        <v>100</v>
      </c>
      <c r="BO285" s="38">
        <v>11</v>
      </c>
      <c r="BP285" s="38">
        <v>4</v>
      </c>
      <c r="BQ285" s="38">
        <v>7</v>
      </c>
      <c r="BR285" s="37">
        <v>72.727272727272734</v>
      </c>
      <c r="BS285" s="37">
        <v>100</v>
      </c>
      <c r="BT285" s="37">
        <v>57.142857142857139</v>
      </c>
      <c r="BU285" s="2"/>
      <c r="BV285" s="2"/>
    </row>
    <row r="286" spans="1:74" ht="15.75" x14ac:dyDescent="0.3">
      <c r="A286" s="2" t="s">
        <v>54</v>
      </c>
      <c r="B286" s="2" t="s">
        <v>1393</v>
      </c>
      <c r="C286" s="2" t="s">
        <v>1856</v>
      </c>
      <c r="D286" s="2" t="s">
        <v>674</v>
      </c>
      <c r="E286" s="2" t="s">
        <v>674</v>
      </c>
      <c r="F286" s="2" t="s">
        <v>675</v>
      </c>
      <c r="G286" s="2" t="s">
        <v>60</v>
      </c>
      <c r="H286" s="2" t="s">
        <v>61</v>
      </c>
      <c r="I286" s="2" t="s">
        <v>500</v>
      </c>
      <c r="J286" s="2" t="s">
        <v>500</v>
      </c>
      <c r="K286" s="2" t="s">
        <v>159</v>
      </c>
      <c r="L286" s="2" t="s">
        <v>1604</v>
      </c>
      <c r="M286" s="2">
        <v>32</v>
      </c>
      <c r="N286" s="2" t="s">
        <v>1605</v>
      </c>
      <c r="O286" s="2" t="s">
        <v>1606</v>
      </c>
      <c r="P286" s="2" t="s">
        <v>80</v>
      </c>
      <c r="Q286" s="2" t="s">
        <v>90</v>
      </c>
      <c r="R286" s="2" t="s">
        <v>91</v>
      </c>
      <c r="S286" s="2" t="s">
        <v>1607</v>
      </c>
      <c r="T286" s="2" t="s">
        <v>1600</v>
      </c>
      <c r="U286" s="2" t="s">
        <v>1608</v>
      </c>
      <c r="V286" s="2" t="s">
        <v>1600</v>
      </c>
      <c r="W286" s="2" t="s">
        <v>74</v>
      </c>
      <c r="X286" s="38">
        <v>113</v>
      </c>
      <c r="Y286" s="38">
        <v>47</v>
      </c>
      <c r="Z286" s="38">
        <v>66</v>
      </c>
      <c r="AA286" s="38">
        <v>113</v>
      </c>
      <c r="AB286" s="38">
        <v>47</v>
      </c>
      <c r="AC286" s="38">
        <v>66</v>
      </c>
      <c r="AD286" s="38">
        <v>0</v>
      </c>
      <c r="AE286" s="38">
        <v>0</v>
      </c>
      <c r="AF286" s="38">
        <v>0</v>
      </c>
      <c r="AG286" s="38">
        <v>0</v>
      </c>
      <c r="AH286" s="38">
        <v>0</v>
      </c>
      <c r="AI286" s="38">
        <v>0</v>
      </c>
      <c r="AJ286" s="38">
        <v>0</v>
      </c>
      <c r="AK286" s="37">
        <v>0</v>
      </c>
      <c r="AL286" s="40">
        <f t="shared" si="16"/>
        <v>0</v>
      </c>
      <c r="AM286" s="37">
        <f t="shared" si="17"/>
        <v>0</v>
      </c>
      <c r="AN286" s="40">
        <f t="shared" si="18"/>
        <v>0</v>
      </c>
      <c r="AO286" s="37">
        <f t="shared" si="19"/>
        <v>0</v>
      </c>
      <c r="AP286" s="38">
        <v>145</v>
      </c>
      <c r="AQ286" s="38">
        <v>62</v>
      </c>
      <c r="AR286" s="38">
        <v>83</v>
      </c>
      <c r="AS286" s="38">
        <v>97</v>
      </c>
      <c r="AT286" s="38">
        <v>41</v>
      </c>
      <c r="AU286" s="38">
        <v>56</v>
      </c>
      <c r="AV286" s="38">
        <v>0</v>
      </c>
      <c r="AW286" s="38">
        <v>0</v>
      </c>
      <c r="AX286" s="38">
        <v>0</v>
      </c>
      <c r="AY286" s="38">
        <v>112</v>
      </c>
      <c r="AZ286" s="38">
        <v>47</v>
      </c>
      <c r="BA286" s="38">
        <v>65</v>
      </c>
      <c r="BB286" s="38">
        <v>64</v>
      </c>
      <c r="BC286" s="37">
        <v>57.142857142857139</v>
      </c>
      <c r="BD286" s="40">
        <v>26</v>
      </c>
      <c r="BE286" s="37">
        <v>55.319148936170215</v>
      </c>
      <c r="BF286" s="40">
        <v>38</v>
      </c>
      <c r="BG286" s="37">
        <v>58.461538461538467</v>
      </c>
      <c r="BH286" s="38">
        <v>0</v>
      </c>
      <c r="BI286" s="38">
        <v>17</v>
      </c>
      <c r="BJ286" s="38">
        <v>5</v>
      </c>
      <c r="BK286" s="38">
        <v>12</v>
      </c>
      <c r="BL286" s="37">
        <v>0</v>
      </c>
      <c r="BM286" s="37">
        <v>0</v>
      </c>
      <c r="BN286" s="37">
        <v>0</v>
      </c>
      <c r="BO286" s="38">
        <v>31</v>
      </c>
      <c r="BP286" s="38">
        <v>9</v>
      </c>
      <c r="BQ286" s="38">
        <v>22</v>
      </c>
      <c r="BR286" s="37">
        <v>0</v>
      </c>
      <c r="BS286" s="37">
        <v>0</v>
      </c>
      <c r="BT286" s="37">
        <v>0</v>
      </c>
      <c r="BU286" s="2"/>
      <c r="BV286" s="2"/>
    </row>
    <row r="287" spans="1:74" ht="15.75" x14ac:dyDescent="0.3">
      <c r="A287" s="2" t="s">
        <v>54</v>
      </c>
      <c r="B287" s="2" t="s">
        <v>1393</v>
      </c>
      <c r="C287" s="2" t="s">
        <v>1856</v>
      </c>
      <c r="D287" s="2" t="s">
        <v>674</v>
      </c>
      <c r="E287" s="2" t="s">
        <v>674</v>
      </c>
      <c r="F287" s="2" t="s">
        <v>675</v>
      </c>
      <c r="G287" s="2" t="s">
        <v>60</v>
      </c>
      <c r="H287" s="2" t="s">
        <v>61</v>
      </c>
      <c r="I287" s="2" t="s">
        <v>62</v>
      </c>
      <c r="J287" s="2" t="s">
        <v>63</v>
      </c>
      <c r="K287" s="2" t="s">
        <v>159</v>
      </c>
      <c r="L287" s="2" t="s">
        <v>1609</v>
      </c>
      <c r="M287" s="2">
        <v>41</v>
      </c>
      <c r="N287" s="2" t="s">
        <v>1610</v>
      </c>
      <c r="O287" s="2" t="s">
        <v>1611</v>
      </c>
      <c r="P287" s="2" t="s">
        <v>80</v>
      </c>
      <c r="Q287" s="2" t="s">
        <v>69</v>
      </c>
      <c r="R287" s="2" t="s">
        <v>70</v>
      </c>
      <c r="S287" s="2" t="s">
        <v>1612</v>
      </c>
      <c r="T287" s="2" t="s">
        <v>1613</v>
      </c>
      <c r="U287" s="2" t="s">
        <v>1614</v>
      </c>
      <c r="V287" s="2" t="s">
        <v>1613</v>
      </c>
      <c r="W287" s="2" t="s">
        <v>74</v>
      </c>
      <c r="X287" s="38">
        <v>338</v>
      </c>
      <c r="Y287" s="38">
        <v>151</v>
      </c>
      <c r="Z287" s="38">
        <v>187</v>
      </c>
      <c r="AA287" s="38">
        <v>338</v>
      </c>
      <c r="AB287" s="38">
        <v>151</v>
      </c>
      <c r="AC287" s="38">
        <v>187</v>
      </c>
      <c r="AD287" s="38">
        <v>0</v>
      </c>
      <c r="AE287" s="38">
        <v>0</v>
      </c>
      <c r="AF287" s="38">
        <v>0</v>
      </c>
      <c r="AG287" s="38">
        <v>59</v>
      </c>
      <c r="AH287" s="38">
        <v>31</v>
      </c>
      <c r="AI287" s="38">
        <v>28</v>
      </c>
      <c r="AJ287" s="38">
        <v>0</v>
      </c>
      <c r="AK287" s="37">
        <v>0</v>
      </c>
      <c r="AL287" s="40">
        <f t="shared" si="16"/>
        <v>0</v>
      </c>
      <c r="AM287" s="37">
        <f t="shared" si="17"/>
        <v>0</v>
      </c>
      <c r="AN287" s="40">
        <f t="shared" si="18"/>
        <v>0</v>
      </c>
      <c r="AO287" s="37">
        <f t="shared" si="19"/>
        <v>0</v>
      </c>
      <c r="AP287" s="38">
        <v>390</v>
      </c>
      <c r="AQ287" s="38">
        <v>167</v>
      </c>
      <c r="AR287" s="38">
        <v>223</v>
      </c>
      <c r="AS287" s="38">
        <v>167</v>
      </c>
      <c r="AT287" s="38">
        <v>75</v>
      </c>
      <c r="AU287" s="38">
        <v>92</v>
      </c>
      <c r="AV287" s="38">
        <v>59</v>
      </c>
      <c r="AW287" s="38">
        <v>31</v>
      </c>
      <c r="AX287" s="38">
        <v>28</v>
      </c>
      <c r="AY287" s="38">
        <v>382</v>
      </c>
      <c r="AZ287" s="38">
        <v>173</v>
      </c>
      <c r="BA287" s="38">
        <v>209</v>
      </c>
      <c r="BB287" s="38">
        <v>100</v>
      </c>
      <c r="BC287" s="37">
        <v>26.178010471204189</v>
      </c>
      <c r="BD287" s="40">
        <v>50</v>
      </c>
      <c r="BE287" s="37">
        <v>28.901734104046245</v>
      </c>
      <c r="BF287" s="40">
        <v>50</v>
      </c>
      <c r="BG287" s="37">
        <v>23.923444976076556</v>
      </c>
      <c r="BH287" s="38">
        <v>59</v>
      </c>
      <c r="BI287" s="38">
        <v>61</v>
      </c>
      <c r="BJ287" s="38">
        <v>31</v>
      </c>
      <c r="BK287" s="38">
        <v>30</v>
      </c>
      <c r="BL287" s="37">
        <v>96.721311475409834</v>
      </c>
      <c r="BM287" s="37">
        <v>100</v>
      </c>
      <c r="BN287" s="37">
        <v>93.333333333333329</v>
      </c>
      <c r="BO287" s="38">
        <v>94</v>
      </c>
      <c r="BP287" s="38">
        <v>52</v>
      </c>
      <c r="BQ287" s="38">
        <v>42</v>
      </c>
      <c r="BR287" s="37">
        <v>62.765957446808507</v>
      </c>
      <c r="BS287" s="37">
        <v>59.615384615384613</v>
      </c>
      <c r="BT287" s="37">
        <v>66.666666666666657</v>
      </c>
      <c r="BU287" s="2"/>
      <c r="BV287" s="2"/>
    </row>
    <row r="288" spans="1:74" ht="15.75" x14ac:dyDescent="0.3">
      <c r="A288" s="2" t="s">
        <v>54</v>
      </c>
      <c r="B288" s="2" t="s">
        <v>1393</v>
      </c>
      <c r="C288" s="2" t="s">
        <v>1856</v>
      </c>
      <c r="D288" s="2" t="s">
        <v>674</v>
      </c>
      <c r="E288" s="2" t="s">
        <v>674</v>
      </c>
      <c r="F288" s="2" t="s">
        <v>675</v>
      </c>
      <c r="G288" s="2" t="s">
        <v>60</v>
      </c>
      <c r="H288" s="2" t="s">
        <v>61</v>
      </c>
      <c r="I288" s="2" t="s">
        <v>178</v>
      </c>
      <c r="J288" s="2" t="s">
        <v>178</v>
      </c>
      <c r="K288" s="2" t="s">
        <v>159</v>
      </c>
      <c r="L288" s="2" t="s">
        <v>1615</v>
      </c>
      <c r="M288" s="2">
        <v>204</v>
      </c>
      <c r="N288" s="2" t="s">
        <v>1616</v>
      </c>
      <c r="O288" s="2" t="s">
        <v>1617</v>
      </c>
      <c r="P288" s="2" t="s">
        <v>80</v>
      </c>
      <c r="Q288" s="2" t="s">
        <v>90</v>
      </c>
      <c r="R288" s="2" t="s">
        <v>91</v>
      </c>
      <c r="S288" s="2" t="s">
        <v>1618</v>
      </c>
      <c r="T288" s="2" t="s">
        <v>1619</v>
      </c>
      <c r="U288" s="2" t="s">
        <v>1620</v>
      </c>
      <c r="V288" s="2" t="s">
        <v>1619</v>
      </c>
      <c r="W288" s="2" t="s">
        <v>74</v>
      </c>
      <c r="X288" s="38">
        <v>98</v>
      </c>
      <c r="Y288" s="38">
        <v>49</v>
      </c>
      <c r="Z288" s="38">
        <v>49</v>
      </c>
      <c r="AA288" s="38">
        <v>98</v>
      </c>
      <c r="AB288" s="38">
        <v>49</v>
      </c>
      <c r="AC288" s="38">
        <v>49</v>
      </c>
      <c r="AD288" s="38">
        <v>0</v>
      </c>
      <c r="AE288" s="38">
        <v>0</v>
      </c>
      <c r="AF288" s="38">
        <v>0</v>
      </c>
      <c r="AG288" s="38">
        <v>0</v>
      </c>
      <c r="AH288" s="38">
        <v>0</v>
      </c>
      <c r="AI288" s="38">
        <v>0</v>
      </c>
      <c r="AJ288" s="38">
        <v>0</v>
      </c>
      <c r="AK288" s="37">
        <v>0</v>
      </c>
      <c r="AL288" s="40">
        <f t="shared" si="16"/>
        <v>0</v>
      </c>
      <c r="AM288" s="37">
        <f t="shared" si="17"/>
        <v>0</v>
      </c>
      <c r="AN288" s="40">
        <f t="shared" si="18"/>
        <v>0</v>
      </c>
      <c r="AO288" s="37">
        <f t="shared" si="19"/>
        <v>0</v>
      </c>
      <c r="AP288" s="38">
        <v>123</v>
      </c>
      <c r="AQ288" s="38">
        <v>63</v>
      </c>
      <c r="AR288" s="38">
        <v>60</v>
      </c>
      <c r="AS288" s="38">
        <v>60</v>
      </c>
      <c r="AT288" s="38">
        <v>30</v>
      </c>
      <c r="AU288" s="38">
        <v>30</v>
      </c>
      <c r="AV288" s="38">
        <v>19</v>
      </c>
      <c r="AW288" s="38">
        <v>7</v>
      </c>
      <c r="AX288" s="38">
        <v>12</v>
      </c>
      <c r="AY288" s="38">
        <v>100</v>
      </c>
      <c r="AZ288" s="38">
        <v>51</v>
      </c>
      <c r="BA288" s="38">
        <v>49</v>
      </c>
      <c r="BB288" s="38">
        <v>18</v>
      </c>
      <c r="BC288" s="37">
        <v>18</v>
      </c>
      <c r="BD288" s="40">
        <v>11</v>
      </c>
      <c r="BE288" s="37">
        <v>21.568627450980394</v>
      </c>
      <c r="BF288" s="40">
        <v>7</v>
      </c>
      <c r="BG288" s="37">
        <v>14.285714285714285</v>
      </c>
      <c r="BH288" s="38">
        <v>19</v>
      </c>
      <c r="BI288" s="38">
        <v>20</v>
      </c>
      <c r="BJ288" s="38">
        <v>8</v>
      </c>
      <c r="BK288" s="38">
        <v>12</v>
      </c>
      <c r="BL288" s="37">
        <v>95</v>
      </c>
      <c r="BM288" s="37">
        <v>87.5</v>
      </c>
      <c r="BN288" s="37">
        <v>100</v>
      </c>
      <c r="BO288" s="38">
        <v>40</v>
      </c>
      <c r="BP288" s="38">
        <v>22</v>
      </c>
      <c r="BQ288" s="38">
        <v>18</v>
      </c>
      <c r="BR288" s="37">
        <v>47.5</v>
      </c>
      <c r="BS288" s="37">
        <v>31.818181818181817</v>
      </c>
      <c r="BT288" s="37">
        <v>66.666666666666657</v>
      </c>
      <c r="BU288" s="2"/>
      <c r="BV288" s="2"/>
    </row>
    <row r="289" spans="1:74" ht="15.75" x14ac:dyDescent="0.3">
      <c r="A289" s="2" t="s">
        <v>54</v>
      </c>
      <c r="B289" s="2" t="s">
        <v>1393</v>
      </c>
      <c r="C289" s="2" t="s">
        <v>1856</v>
      </c>
      <c r="D289" s="2" t="s">
        <v>674</v>
      </c>
      <c r="E289" s="2" t="s">
        <v>674</v>
      </c>
      <c r="F289" s="2" t="s">
        <v>675</v>
      </c>
      <c r="G289" s="2" t="s">
        <v>60</v>
      </c>
      <c r="H289" s="2" t="s">
        <v>61</v>
      </c>
      <c r="I289" s="2" t="s">
        <v>62</v>
      </c>
      <c r="J289" s="2" t="s">
        <v>63</v>
      </c>
      <c r="K289" s="2" t="s">
        <v>159</v>
      </c>
      <c r="L289" s="2" t="s">
        <v>277</v>
      </c>
      <c r="M289" s="2">
        <v>157</v>
      </c>
      <c r="N289" s="2" t="s">
        <v>1621</v>
      </c>
      <c r="O289" s="2" t="s">
        <v>1622</v>
      </c>
      <c r="P289" s="2" t="s">
        <v>80</v>
      </c>
      <c r="Q289" s="2" t="s">
        <v>69</v>
      </c>
      <c r="R289" s="2" t="s">
        <v>70</v>
      </c>
      <c r="S289" s="2" t="s">
        <v>1623</v>
      </c>
      <c r="T289" s="2" t="s">
        <v>1624</v>
      </c>
      <c r="U289" s="2" t="s">
        <v>1625</v>
      </c>
      <c r="V289" s="2" t="s">
        <v>1624</v>
      </c>
      <c r="W289" s="2" t="s">
        <v>74</v>
      </c>
      <c r="X289" s="38">
        <v>127</v>
      </c>
      <c r="Y289" s="38">
        <v>27</v>
      </c>
      <c r="Z289" s="38">
        <v>100</v>
      </c>
      <c r="AA289" s="38">
        <v>74</v>
      </c>
      <c r="AB289" s="38">
        <v>12</v>
      </c>
      <c r="AC289" s="38">
        <v>62</v>
      </c>
      <c r="AD289" s="38">
        <v>48</v>
      </c>
      <c r="AE289" s="38">
        <v>15</v>
      </c>
      <c r="AF289" s="38">
        <v>33</v>
      </c>
      <c r="AG289" s="38">
        <v>0</v>
      </c>
      <c r="AH289" s="38">
        <v>0</v>
      </c>
      <c r="AI289" s="38">
        <v>0</v>
      </c>
      <c r="AJ289" s="38">
        <v>5</v>
      </c>
      <c r="AK289" s="37">
        <v>3.9370078740157481</v>
      </c>
      <c r="AL289" s="40">
        <f t="shared" si="16"/>
        <v>0</v>
      </c>
      <c r="AM289" s="37">
        <f t="shared" si="17"/>
        <v>0</v>
      </c>
      <c r="AN289" s="40">
        <f t="shared" si="18"/>
        <v>5</v>
      </c>
      <c r="AO289" s="37">
        <f t="shared" si="19"/>
        <v>5</v>
      </c>
      <c r="AP289" s="38">
        <v>151</v>
      </c>
      <c r="AQ289" s="38">
        <v>49</v>
      </c>
      <c r="AR289" s="38">
        <v>102</v>
      </c>
      <c r="AS289" s="38">
        <v>71</v>
      </c>
      <c r="AT289" s="38">
        <v>30</v>
      </c>
      <c r="AU289" s="38">
        <v>41</v>
      </c>
      <c r="AV289" s="38">
        <v>42</v>
      </c>
      <c r="AW289" s="38">
        <v>8</v>
      </c>
      <c r="AX289" s="38">
        <v>34</v>
      </c>
      <c r="AY289" s="38">
        <v>157</v>
      </c>
      <c r="AZ289" s="38">
        <v>38</v>
      </c>
      <c r="BA289" s="38">
        <v>119</v>
      </c>
      <c r="BB289" s="38">
        <v>35</v>
      </c>
      <c r="BC289" s="37">
        <v>22.29299363057325</v>
      </c>
      <c r="BD289" s="40">
        <v>11</v>
      </c>
      <c r="BE289" s="37">
        <v>28.947368421052634</v>
      </c>
      <c r="BF289" s="40">
        <v>24</v>
      </c>
      <c r="BG289" s="37">
        <v>20.168067226890756</v>
      </c>
      <c r="BH289" s="38">
        <v>42</v>
      </c>
      <c r="BI289" s="38">
        <v>43</v>
      </c>
      <c r="BJ289" s="38">
        <v>7</v>
      </c>
      <c r="BK289" s="38">
        <v>36</v>
      </c>
      <c r="BL289" s="37">
        <v>97.674418604651152</v>
      </c>
      <c r="BM289" s="37">
        <v>114.28571428571428</v>
      </c>
      <c r="BN289" s="37">
        <v>94.444444444444443</v>
      </c>
      <c r="BO289" s="38">
        <v>73</v>
      </c>
      <c r="BP289" s="38">
        <v>18</v>
      </c>
      <c r="BQ289" s="38">
        <v>55</v>
      </c>
      <c r="BR289" s="37">
        <v>57.534246575342465</v>
      </c>
      <c r="BS289" s="37">
        <v>44.444444444444443</v>
      </c>
      <c r="BT289" s="37">
        <v>61.818181818181813</v>
      </c>
      <c r="BU289" s="2"/>
      <c r="BV289" s="2"/>
    </row>
    <row r="290" spans="1:74" ht="15.75" x14ac:dyDescent="0.3">
      <c r="A290" s="2" t="s">
        <v>54</v>
      </c>
      <c r="B290" s="2" t="s">
        <v>1393</v>
      </c>
      <c r="C290" s="2" t="s">
        <v>1856</v>
      </c>
      <c r="D290" s="2" t="s">
        <v>674</v>
      </c>
      <c r="E290" s="2" t="s">
        <v>674</v>
      </c>
      <c r="F290" s="2" t="s">
        <v>675</v>
      </c>
      <c r="G290" s="2" t="s">
        <v>60</v>
      </c>
      <c r="H290" s="2" t="s">
        <v>61</v>
      </c>
      <c r="I290" s="2" t="s">
        <v>62</v>
      </c>
      <c r="J290" s="2" t="s">
        <v>63</v>
      </c>
      <c r="K290" s="2" t="s">
        <v>1590</v>
      </c>
      <c r="L290" s="2" t="s">
        <v>1626</v>
      </c>
      <c r="M290" s="2">
        <v>215</v>
      </c>
      <c r="N290" s="2" t="s">
        <v>1627</v>
      </c>
      <c r="O290" s="2" t="s">
        <v>1628</v>
      </c>
      <c r="P290" s="2" t="s">
        <v>80</v>
      </c>
      <c r="Q290" s="2" t="s">
        <v>69</v>
      </c>
      <c r="R290" s="2" t="s">
        <v>70</v>
      </c>
      <c r="S290" s="2" t="s">
        <v>1629</v>
      </c>
      <c r="T290" s="2" t="s">
        <v>1630</v>
      </c>
      <c r="U290" s="2" t="s">
        <v>1631</v>
      </c>
      <c r="V290" s="2" t="s">
        <v>1630</v>
      </c>
      <c r="W290" s="2" t="s">
        <v>74</v>
      </c>
      <c r="X290" s="38">
        <v>117</v>
      </c>
      <c r="Y290" s="38">
        <v>56</v>
      </c>
      <c r="Z290" s="38">
        <v>61</v>
      </c>
      <c r="AA290" s="38">
        <v>117</v>
      </c>
      <c r="AB290" s="38">
        <v>56</v>
      </c>
      <c r="AC290" s="38">
        <v>61</v>
      </c>
      <c r="AD290" s="38">
        <v>0</v>
      </c>
      <c r="AE290" s="38">
        <v>0</v>
      </c>
      <c r="AF290" s="38">
        <v>0</v>
      </c>
      <c r="AG290" s="38">
        <v>0</v>
      </c>
      <c r="AH290" s="38">
        <v>0</v>
      </c>
      <c r="AI290" s="38">
        <v>0</v>
      </c>
      <c r="AJ290" s="38">
        <v>0</v>
      </c>
      <c r="AK290" s="37">
        <v>0</v>
      </c>
      <c r="AL290" s="40">
        <f t="shared" si="16"/>
        <v>0</v>
      </c>
      <c r="AM290" s="37">
        <f t="shared" si="17"/>
        <v>0</v>
      </c>
      <c r="AN290" s="40">
        <f t="shared" si="18"/>
        <v>0</v>
      </c>
      <c r="AO290" s="37">
        <f t="shared" si="19"/>
        <v>0</v>
      </c>
      <c r="AP290" s="38">
        <v>120</v>
      </c>
      <c r="AQ290" s="38">
        <v>60</v>
      </c>
      <c r="AR290" s="38">
        <v>60</v>
      </c>
      <c r="AS290" s="38">
        <v>55</v>
      </c>
      <c r="AT290" s="38">
        <v>28</v>
      </c>
      <c r="AU290" s="38">
        <v>27</v>
      </c>
      <c r="AV290" s="38">
        <v>0</v>
      </c>
      <c r="AW290" s="38">
        <v>0</v>
      </c>
      <c r="AX290" s="38">
        <v>0</v>
      </c>
      <c r="AY290" s="38">
        <v>93</v>
      </c>
      <c r="AZ290" s="38">
        <v>47</v>
      </c>
      <c r="BA290" s="38">
        <v>46</v>
      </c>
      <c r="BB290" s="38">
        <v>28</v>
      </c>
      <c r="BC290" s="37">
        <v>30.107526881720432</v>
      </c>
      <c r="BD290" s="40">
        <v>15</v>
      </c>
      <c r="BE290" s="37">
        <v>31.914893617021278</v>
      </c>
      <c r="BF290" s="40">
        <v>13</v>
      </c>
      <c r="BG290" s="37">
        <v>28.260869565217391</v>
      </c>
      <c r="BH290" s="38">
        <v>0</v>
      </c>
      <c r="BI290" s="38">
        <v>19</v>
      </c>
      <c r="BJ290" s="38">
        <v>11</v>
      </c>
      <c r="BK290" s="38">
        <v>8</v>
      </c>
      <c r="BL290" s="37">
        <v>0</v>
      </c>
      <c r="BM290" s="37">
        <v>0</v>
      </c>
      <c r="BN290" s="37">
        <v>0</v>
      </c>
      <c r="BO290" s="38">
        <v>28</v>
      </c>
      <c r="BP290" s="38">
        <v>15</v>
      </c>
      <c r="BQ290" s="38">
        <v>13</v>
      </c>
      <c r="BR290" s="37">
        <v>0</v>
      </c>
      <c r="BS290" s="37">
        <v>0</v>
      </c>
      <c r="BT290" s="37">
        <v>0</v>
      </c>
      <c r="BU290" s="2"/>
      <c r="BV290" s="2"/>
    </row>
    <row r="291" spans="1:74" ht="15.75" x14ac:dyDescent="0.3">
      <c r="A291" s="2" t="s">
        <v>54</v>
      </c>
      <c r="B291" s="2" t="s">
        <v>1393</v>
      </c>
      <c r="C291" s="2" t="s">
        <v>1856</v>
      </c>
      <c r="D291" s="2" t="s">
        <v>674</v>
      </c>
      <c r="E291" s="2" t="s">
        <v>674</v>
      </c>
      <c r="F291" s="2" t="s">
        <v>675</v>
      </c>
      <c r="G291" s="2" t="s">
        <v>60</v>
      </c>
      <c r="H291" s="2" t="s">
        <v>61</v>
      </c>
      <c r="I291" s="2" t="s">
        <v>62</v>
      </c>
      <c r="J291" s="2" t="s">
        <v>63</v>
      </c>
      <c r="K291" s="2" t="s">
        <v>159</v>
      </c>
      <c r="L291" s="2" t="s">
        <v>269</v>
      </c>
      <c r="M291" s="2">
        <v>149</v>
      </c>
      <c r="N291" s="2" t="s">
        <v>1045</v>
      </c>
      <c r="O291" s="2" t="s">
        <v>1632</v>
      </c>
      <c r="P291" s="2" t="s">
        <v>80</v>
      </c>
      <c r="Q291" s="2" t="s">
        <v>69</v>
      </c>
      <c r="R291" s="2" t="s">
        <v>70</v>
      </c>
      <c r="S291" s="2" t="s">
        <v>1633</v>
      </c>
      <c r="T291" s="2" t="s">
        <v>1634</v>
      </c>
      <c r="U291" s="2" t="s">
        <v>1635</v>
      </c>
      <c r="V291" s="2" t="s">
        <v>1634</v>
      </c>
      <c r="W291" s="2" t="s">
        <v>74</v>
      </c>
      <c r="X291" s="38">
        <v>171</v>
      </c>
      <c r="Y291" s="38">
        <v>78</v>
      </c>
      <c r="Z291" s="38">
        <v>93</v>
      </c>
      <c r="AA291" s="38">
        <v>137</v>
      </c>
      <c r="AB291" s="38">
        <v>58</v>
      </c>
      <c r="AC291" s="38">
        <v>79</v>
      </c>
      <c r="AD291" s="38">
        <v>34</v>
      </c>
      <c r="AE291" s="38">
        <v>20</v>
      </c>
      <c r="AF291" s="38">
        <v>14</v>
      </c>
      <c r="AG291" s="38">
        <v>0</v>
      </c>
      <c r="AH291" s="38">
        <v>0</v>
      </c>
      <c r="AI291" s="38">
        <v>0</v>
      </c>
      <c r="AJ291" s="38">
        <v>0</v>
      </c>
      <c r="AK291" s="37">
        <v>0</v>
      </c>
      <c r="AL291" s="40">
        <f t="shared" si="16"/>
        <v>0</v>
      </c>
      <c r="AM291" s="37">
        <f t="shared" si="17"/>
        <v>0</v>
      </c>
      <c r="AN291" s="40">
        <f t="shared" si="18"/>
        <v>0</v>
      </c>
      <c r="AO291" s="37">
        <f t="shared" si="19"/>
        <v>0</v>
      </c>
      <c r="AP291" s="38">
        <v>188</v>
      </c>
      <c r="AQ291" s="38">
        <v>86</v>
      </c>
      <c r="AR291" s="38">
        <v>102</v>
      </c>
      <c r="AS291" s="38">
        <v>70</v>
      </c>
      <c r="AT291" s="38">
        <v>28</v>
      </c>
      <c r="AU291" s="38">
        <v>42</v>
      </c>
      <c r="AV291" s="38">
        <v>38</v>
      </c>
      <c r="AW291" s="38">
        <v>13</v>
      </c>
      <c r="AX291" s="38">
        <v>25</v>
      </c>
      <c r="AY291" s="38">
        <v>172</v>
      </c>
      <c r="AZ291" s="38">
        <v>78</v>
      </c>
      <c r="BA291" s="38">
        <v>94</v>
      </c>
      <c r="BB291" s="38">
        <v>16</v>
      </c>
      <c r="BC291" s="37">
        <v>9.3023255813953494</v>
      </c>
      <c r="BD291" s="40">
        <v>7</v>
      </c>
      <c r="BE291" s="37">
        <v>8.9743589743589745</v>
      </c>
      <c r="BF291" s="40">
        <v>9</v>
      </c>
      <c r="BG291" s="37">
        <v>9.5744680851063837</v>
      </c>
      <c r="BH291" s="38">
        <v>38</v>
      </c>
      <c r="BI291" s="38">
        <v>39</v>
      </c>
      <c r="BJ291" s="38">
        <v>13</v>
      </c>
      <c r="BK291" s="38">
        <v>26</v>
      </c>
      <c r="BL291" s="37">
        <v>97.435897435897431</v>
      </c>
      <c r="BM291" s="37">
        <v>100</v>
      </c>
      <c r="BN291" s="37">
        <v>96.15384615384616</v>
      </c>
      <c r="BO291" s="38">
        <v>54</v>
      </c>
      <c r="BP291" s="38">
        <v>23</v>
      </c>
      <c r="BQ291" s="38">
        <v>31</v>
      </c>
      <c r="BR291" s="37">
        <v>70.370370370370367</v>
      </c>
      <c r="BS291" s="37">
        <v>56.521739130434781</v>
      </c>
      <c r="BT291" s="37">
        <v>80.645161290322577</v>
      </c>
      <c r="BU291" s="2"/>
      <c r="BV291" s="2"/>
    </row>
    <row r="292" spans="1:74" ht="15.75" x14ac:dyDescent="0.3">
      <c r="A292" s="2" t="s">
        <v>54</v>
      </c>
      <c r="B292" s="2" t="s">
        <v>1393</v>
      </c>
      <c r="C292" s="2" t="s">
        <v>1856</v>
      </c>
      <c r="D292" s="2" t="s">
        <v>674</v>
      </c>
      <c r="E292" s="2" t="s">
        <v>674</v>
      </c>
      <c r="F292" s="2" t="s">
        <v>675</v>
      </c>
      <c r="G292" s="2" t="s">
        <v>60</v>
      </c>
      <c r="H292" s="2" t="s">
        <v>61</v>
      </c>
      <c r="I292" s="2" t="s">
        <v>62</v>
      </c>
      <c r="J292" s="2" t="s">
        <v>63</v>
      </c>
      <c r="K292" s="2" t="s">
        <v>1636</v>
      </c>
      <c r="L292" s="2" t="s">
        <v>1637</v>
      </c>
      <c r="M292" s="2">
        <v>503</v>
      </c>
      <c r="N292" s="2" t="s">
        <v>1638</v>
      </c>
      <c r="O292" s="2" t="s">
        <v>1639</v>
      </c>
      <c r="P292" s="2" t="s">
        <v>80</v>
      </c>
      <c r="Q292" s="2" t="s">
        <v>69</v>
      </c>
      <c r="R292" s="2" t="s">
        <v>70</v>
      </c>
      <c r="S292" s="2" t="s">
        <v>1640</v>
      </c>
      <c r="T292" s="2" t="s">
        <v>1641</v>
      </c>
      <c r="U292" s="2" t="s">
        <v>1642</v>
      </c>
      <c r="V292" s="2" t="s">
        <v>1641</v>
      </c>
      <c r="W292" s="2" t="s">
        <v>74</v>
      </c>
      <c r="X292" s="38">
        <v>244</v>
      </c>
      <c r="Y292" s="38">
        <v>109</v>
      </c>
      <c r="Z292" s="38">
        <v>135</v>
      </c>
      <c r="AA292" s="38">
        <v>244</v>
      </c>
      <c r="AB292" s="38">
        <v>109</v>
      </c>
      <c r="AC292" s="38">
        <v>135</v>
      </c>
      <c r="AD292" s="38">
        <v>0</v>
      </c>
      <c r="AE292" s="38">
        <v>0</v>
      </c>
      <c r="AF292" s="38">
        <v>0</v>
      </c>
      <c r="AG292" s="38">
        <v>0</v>
      </c>
      <c r="AH292" s="38">
        <v>0</v>
      </c>
      <c r="AI292" s="38">
        <v>0</v>
      </c>
      <c r="AJ292" s="38">
        <v>0</v>
      </c>
      <c r="AK292" s="37">
        <v>0</v>
      </c>
      <c r="AL292" s="40">
        <f t="shared" si="16"/>
        <v>0</v>
      </c>
      <c r="AM292" s="37">
        <f t="shared" si="17"/>
        <v>0</v>
      </c>
      <c r="AN292" s="40">
        <f t="shared" si="18"/>
        <v>0</v>
      </c>
      <c r="AO292" s="37">
        <f t="shared" si="19"/>
        <v>0</v>
      </c>
      <c r="AP292" s="38">
        <v>323</v>
      </c>
      <c r="AQ292" s="38">
        <v>172</v>
      </c>
      <c r="AR292" s="38">
        <v>151</v>
      </c>
      <c r="AS292" s="38">
        <v>115</v>
      </c>
      <c r="AT292" s="38">
        <v>71</v>
      </c>
      <c r="AU292" s="38">
        <v>44</v>
      </c>
      <c r="AV292" s="38">
        <v>52</v>
      </c>
      <c r="AW292" s="38">
        <v>20</v>
      </c>
      <c r="AX292" s="38">
        <v>32</v>
      </c>
      <c r="AY292" s="38">
        <v>477</v>
      </c>
      <c r="AZ292" s="38">
        <v>251</v>
      </c>
      <c r="BA292" s="38">
        <v>226</v>
      </c>
      <c r="BB292" s="38">
        <v>217</v>
      </c>
      <c r="BC292" s="37">
        <v>45.492662473794546</v>
      </c>
      <c r="BD292" s="40">
        <v>130</v>
      </c>
      <c r="BE292" s="37">
        <v>51.792828685258961</v>
      </c>
      <c r="BF292" s="40">
        <v>87</v>
      </c>
      <c r="BG292" s="37">
        <v>38.495575221238937</v>
      </c>
      <c r="BH292" s="38">
        <v>52</v>
      </c>
      <c r="BI292" s="38">
        <v>104</v>
      </c>
      <c r="BJ292" s="38">
        <v>53</v>
      </c>
      <c r="BK292" s="38">
        <v>51</v>
      </c>
      <c r="BL292" s="37">
        <v>50</v>
      </c>
      <c r="BM292" s="37">
        <v>37.735849056603776</v>
      </c>
      <c r="BN292" s="37">
        <v>62.745098039215684</v>
      </c>
      <c r="BO292" s="38">
        <v>228</v>
      </c>
      <c r="BP292" s="38">
        <v>140</v>
      </c>
      <c r="BQ292" s="38">
        <v>88</v>
      </c>
      <c r="BR292" s="37">
        <v>22.807017543859647</v>
      </c>
      <c r="BS292" s="37">
        <v>14.285714285714285</v>
      </c>
      <c r="BT292" s="37">
        <v>36.363636363636367</v>
      </c>
      <c r="BU292" s="2"/>
      <c r="BV292" s="2"/>
    </row>
    <row r="293" spans="1:74" ht="15.75" x14ac:dyDescent="0.3">
      <c r="A293" s="2" t="s">
        <v>54</v>
      </c>
      <c r="B293" s="2" t="s">
        <v>1393</v>
      </c>
      <c r="C293" s="2" t="s">
        <v>1856</v>
      </c>
      <c r="D293" s="2" t="s">
        <v>674</v>
      </c>
      <c r="E293" s="2" t="s">
        <v>674</v>
      </c>
      <c r="F293" s="2" t="s">
        <v>675</v>
      </c>
      <c r="G293" s="2" t="s">
        <v>60</v>
      </c>
      <c r="H293" s="2" t="s">
        <v>61</v>
      </c>
      <c r="I293" s="2" t="s">
        <v>62</v>
      </c>
      <c r="J293" s="2" t="s">
        <v>63</v>
      </c>
      <c r="K293" s="2" t="s">
        <v>1636</v>
      </c>
      <c r="L293" s="2" t="s">
        <v>1637</v>
      </c>
      <c r="M293" s="2">
        <v>503</v>
      </c>
      <c r="N293" s="2" t="s">
        <v>1638</v>
      </c>
      <c r="O293" s="2" t="s">
        <v>1639</v>
      </c>
      <c r="P293" s="2" t="s">
        <v>80</v>
      </c>
      <c r="Q293" s="2" t="s">
        <v>69</v>
      </c>
      <c r="R293" s="2" t="s">
        <v>70</v>
      </c>
      <c r="S293" s="2" t="s">
        <v>1640</v>
      </c>
      <c r="T293" s="2" t="s">
        <v>1641</v>
      </c>
      <c r="U293" s="2" t="s">
        <v>1642</v>
      </c>
      <c r="V293" s="2" t="s">
        <v>1641</v>
      </c>
      <c r="W293" s="2" t="s">
        <v>113</v>
      </c>
      <c r="X293" s="38">
        <v>154</v>
      </c>
      <c r="Y293" s="38">
        <v>93</v>
      </c>
      <c r="Z293" s="38">
        <v>61</v>
      </c>
      <c r="AA293" s="38">
        <v>154</v>
      </c>
      <c r="AB293" s="38">
        <v>93</v>
      </c>
      <c r="AC293" s="38">
        <v>61</v>
      </c>
      <c r="AD293" s="38">
        <v>0</v>
      </c>
      <c r="AE293" s="38">
        <v>0</v>
      </c>
      <c r="AF293" s="38">
        <v>0</v>
      </c>
      <c r="AG293" s="38">
        <v>0</v>
      </c>
      <c r="AH293" s="38">
        <v>0</v>
      </c>
      <c r="AI293" s="38">
        <v>0</v>
      </c>
      <c r="AJ293" s="38">
        <v>0</v>
      </c>
      <c r="AK293" s="37">
        <v>0</v>
      </c>
      <c r="AL293" s="40">
        <f t="shared" si="16"/>
        <v>0</v>
      </c>
      <c r="AM293" s="37">
        <f t="shared" si="17"/>
        <v>0</v>
      </c>
      <c r="AN293" s="40">
        <f t="shared" si="18"/>
        <v>0</v>
      </c>
      <c r="AO293" s="37">
        <f t="shared" si="19"/>
        <v>0</v>
      </c>
      <c r="AP293" s="38">
        <v>263</v>
      </c>
      <c r="AQ293" s="38">
        <v>138</v>
      </c>
      <c r="AR293" s="38">
        <v>125</v>
      </c>
      <c r="AS293" s="38">
        <v>135</v>
      </c>
      <c r="AT293" s="38">
        <v>63</v>
      </c>
      <c r="AU293" s="38">
        <v>72</v>
      </c>
      <c r="AV293" s="38">
        <v>24</v>
      </c>
      <c r="AW293" s="38">
        <v>19</v>
      </c>
      <c r="AX293" s="38">
        <v>5</v>
      </c>
      <c r="AY293" s="38">
        <v>77</v>
      </c>
      <c r="AZ293" s="38">
        <v>43</v>
      </c>
      <c r="BA293" s="38">
        <v>34</v>
      </c>
      <c r="BB293" s="38">
        <v>-75</v>
      </c>
      <c r="BC293" s="37">
        <v>-97.402597402597408</v>
      </c>
      <c r="BD293" s="40">
        <v>-51</v>
      </c>
      <c r="BE293" s="37">
        <v>-118.6046511627907</v>
      </c>
      <c r="BF293" s="40">
        <v>-24</v>
      </c>
      <c r="BG293" s="37">
        <v>-70.588235294117652</v>
      </c>
      <c r="BH293" s="38">
        <v>24</v>
      </c>
      <c r="BI293" s="38">
        <v>6</v>
      </c>
      <c r="BJ293" s="38">
        <v>2</v>
      </c>
      <c r="BK293" s="38">
        <v>4</v>
      </c>
      <c r="BL293" s="37">
        <v>400</v>
      </c>
      <c r="BM293" s="37">
        <v>950</v>
      </c>
      <c r="BN293" s="37">
        <v>125</v>
      </c>
      <c r="BO293" s="38">
        <v>27</v>
      </c>
      <c r="BP293" s="38">
        <v>15</v>
      </c>
      <c r="BQ293" s="38">
        <v>12</v>
      </c>
      <c r="BR293" s="37">
        <v>88.888888888888886</v>
      </c>
      <c r="BS293" s="37">
        <v>126.66666666666666</v>
      </c>
      <c r="BT293" s="37">
        <v>41.666666666666671</v>
      </c>
      <c r="BU293" s="2"/>
      <c r="BV293" s="2"/>
    </row>
    <row r="294" spans="1:74" ht="15.75" x14ac:dyDescent="0.3">
      <c r="A294" s="2" t="s">
        <v>54</v>
      </c>
      <c r="B294" s="2" t="s">
        <v>1393</v>
      </c>
      <c r="C294" s="2" t="s">
        <v>1856</v>
      </c>
      <c r="D294" s="2" t="s">
        <v>674</v>
      </c>
      <c r="E294" s="2" t="s">
        <v>674</v>
      </c>
      <c r="F294" s="2" t="s">
        <v>675</v>
      </c>
      <c r="G294" s="2" t="s">
        <v>60</v>
      </c>
      <c r="H294" s="2" t="s">
        <v>61</v>
      </c>
      <c r="I294" s="2" t="s">
        <v>62</v>
      </c>
      <c r="J294" s="2" t="s">
        <v>63</v>
      </c>
      <c r="K294" s="2" t="s">
        <v>1333</v>
      </c>
      <c r="L294" s="2" t="s">
        <v>1643</v>
      </c>
      <c r="M294" s="2">
        <v>69</v>
      </c>
      <c r="N294" s="2" t="s">
        <v>1644</v>
      </c>
      <c r="O294" s="2" t="s">
        <v>1645</v>
      </c>
      <c r="P294" s="2" t="s">
        <v>80</v>
      </c>
      <c r="Q294" s="2" t="s">
        <v>69</v>
      </c>
      <c r="R294" s="2" t="s">
        <v>70</v>
      </c>
      <c r="S294" s="2" t="s">
        <v>1646</v>
      </c>
      <c r="T294" s="2" t="s">
        <v>1647</v>
      </c>
      <c r="U294" s="2" t="s">
        <v>1648</v>
      </c>
      <c r="V294" s="2" t="s">
        <v>1647</v>
      </c>
      <c r="W294" s="2" t="s">
        <v>74</v>
      </c>
      <c r="X294" s="38">
        <v>45</v>
      </c>
      <c r="Y294" s="38">
        <v>19</v>
      </c>
      <c r="Z294" s="38">
        <v>26</v>
      </c>
      <c r="AA294" s="38">
        <v>37</v>
      </c>
      <c r="AB294" s="38">
        <v>15</v>
      </c>
      <c r="AC294" s="38">
        <v>22</v>
      </c>
      <c r="AD294" s="38">
        <v>3</v>
      </c>
      <c r="AE294" s="38">
        <v>1</v>
      </c>
      <c r="AF294" s="38">
        <v>2</v>
      </c>
      <c r="AG294" s="38">
        <v>0</v>
      </c>
      <c r="AH294" s="38">
        <v>0</v>
      </c>
      <c r="AI294" s="38">
        <v>0</v>
      </c>
      <c r="AJ294" s="38">
        <v>5</v>
      </c>
      <c r="AK294" s="37">
        <v>11.111111111111111</v>
      </c>
      <c r="AL294" s="40">
        <f t="shared" si="16"/>
        <v>3</v>
      </c>
      <c r="AM294" s="37">
        <f t="shared" si="17"/>
        <v>15.789473684210526</v>
      </c>
      <c r="AN294" s="40">
        <f t="shared" si="18"/>
        <v>2</v>
      </c>
      <c r="AO294" s="37">
        <f t="shared" si="19"/>
        <v>7.6923076923076925</v>
      </c>
      <c r="AP294" s="38">
        <v>51</v>
      </c>
      <c r="AQ294" s="38">
        <v>22</v>
      </c>
      <c r="AR294" s="38">
        <v>29</v>
      </c>
      <c r="AS294" s="38">
        <v>24</v>
      </c>
      <c r="AT294" s="38">
        <v>14</v>
      </c>
      <c r="AU294" s="38">
        <v>10</v>
      </c>
      <c r="AV294" s="38">
        <v>17</v>
      </c>
      <c r="AW294" s="38">
        <v>10</v>
      </c>
      <c r="AX294" s="38">
        <v>7</v>
      </c>
      <c r="AY294" s="38">
        <v>53</v>
      </c>
      <c r="AZ294" s="38">
        <v>24</v>
      </c>
      <c r="BA294" s="38">
        <v>29</v>
      </c>
      <c r="BB294" s="38">
        <v>9</v>
      </c>
      <c r="BC294" s="37">
        <v>16.981132075471699</v>
      </c>
      <c r="BD294" s="40">
        <v>6</v>
      </c>
      <c r="BE294" s="37">
        <v>25</v>
      </c>
      <c r="BF294" s="40">
        <v>3</v>
      </c>
      <c r="BG294" s="37">
        <v>10.344827586206897</v>
      </c>
      <c r="BH294" s="38">
        <v>17</v>
      </c>
      <c r="BI294" s="38">
        <v>17</v>
      </c>
      <c r="BJ294" s="38">
        <v>10</v>
      </c>
      <c r="BK294" s="38">
        <v>7</v>
      </c>
      <c r="BL294" s="37">
        <v>100</v>
      </c>
      <c r="BM294" s="37">
        <v>100</v>
      </c>
      <c r="BN294" s="37">
        <v>100</v>
      </c>
      <c r="BO294" s="38">
        <v>25</v>
      </c>
      <c r="BP294" s="38">
        <v>15</v>
      </c>
      <c r="BQ294" s="38">
        <v>10</v>
      </c>
      <c r="BR294" s="37">
        <v>68</v>
      </c>
      <c r="BS294" s="37">
        <v>66.666666666666657</v>
      </c>
      <c r="BT294" s="37">
        <v>70</v>
      </c>
      <c r="BU294" s="2"/>
      <c r="BV294" s="2"/>
    </row>
    <row r="295" spans="1:74" ht="15.75" x14ac:dyDescent="0.3">
      <c r="A295" s="2" t="s">
        <v>54</v>
      </c>
      <c r="B295" s="2" t="s">
        <v>1393</v>
      </c>
      <c r="C295" s="2" t="s">
        <v>1856</v>
      </c>
      <c r="D295" s="2" t="s">
        <v>674</v>
      </c>
      <c r="E295" s="2" t="s">
        <v>674</v>
      </c>
      <c r="F295" s="2" t="s">
        <v>675</v>
      </c>
      <c r="G295" s="2" t="s">
        <v>60</v>
      </c>
      <c r="H295" s="2" t="s">
        <v>61</v>
      </c>
      <c r="I295" s="2" t="s">
        <v>62</v>
      </c>
      <c r="J295" s="2" t="s">
        <v>63</v>
      </c>
      <c r="K295" s="2" t="s">
        <v>798</v>
      </c>
      <c r="L295" s="2" t="s">
        <v>365</v>
      </c>
      <c r="M295" s="2">
        <v>1</v>
      </c>
      <c r="N295" s="2" t="s">
        <v>1649</v>
      </c>
      <c r="O295" s="2" t="s">
        <v>800</v>
      </c>
      <c r="P295" s="2" t="s">
        <v>80</v>
      </c>
      <c r="Q295" s="2" t="s">
        <v>69</v>
      </c>
      <c r="R295" s="2" t="s">
        <v>70</v>
      </c>
      <c r="S295" s="2" t="s">
        <v>801</v>
      </c>
      <c r="T295" s="2" t="s">
        <v>802</v>
      </c>
      <c r="U295" s="2" t="s">
        <v>1650</v>
      </c>
      <c r="V295" s="2" t="s">
        <v>802</v>
      </c>
      <c r="W295" s="2" t="s">
        <v>1651</v>
      </c>
      <c r="X295" s="38">
        <v>87</v>
      </c>
      <c r="Y295" s="38">
        <v>41</v>
      </c>
      <c r="Z295" s="38">
        <v>46</v>
      </c>
      <c r="AA295" s="38">
        <v>56</v>
      </c>
      <c r="AB295" s="38">
        <v>24</v>
      </c>
      <c r="AC295" s="38">
        <v>32</v>
      </c>
      <c r="AD295" s="38">
        <v>31</v>
      </c>
      <c r="AE295" s="38">
        <v>17</v>
      </c>
      <c r="AF295" s="38">
        <v>14</v>
      </c>
      <c r="AG295" s="38">
        <v>0</v>
      </c>
      <c r="AH295" s="38">
        <v>0</v>
      </c>
      <c r="AI295" s="38">
        <v>0</v>
      </c>
      <c r="AJ295" s="38">
        <v>0</v>
      </c>
      <c r="AK295" s="37">
        <v>0</v>
      </c>
      <c r="AL295" s="40">
        <f t="shared" si="16"/>
        <v>0</v>
      </c>
      <c r="AM295" s="37">
        <f t="shared" si="17"/>
        <v>0</v>
      </c>
      <c r="AN295" s="40">
        <f t="shared" si="18"/>
        <v>0</v>
      </c>
      <c r="AO295" s="37">
        <f t="shared" si="19"/>
        <v>0</v>
      </c>
      <c r="AP295" s="38">
        <v>154</v>
      </c>
      <c r="AQ295" s="38">
        <v>74</v>
      </c>
      <c r="AR295" s="38">
        <v>80</v>
      </c>
      <c r="AS295" s="38">
        <v>86</v>
      </c>
      <c r="AT295" s="38">
        <v>41</v>
      </c>
      <c r="AU295" s="38">
        <v>45</v>
      </c>
      <c r="AV295" s="38">
        <v>34</v>
      </c>
      <c r="AW295" s="38">
        <v>14</v>
      </c>
      <c r="AX295" s="38">
        <v>20</v>
      </c>
      <c r="AY295" s="38">
        <v>97</v>
      </c>
      <c r="AZ295" s="38">
        <v>45</v>
      </c>
      <c r="BA295" s="38">
        <v>52</v>
      </c>
      <c r="BB295" s="38">
        <v>-5</v>
      </c>
      <c r="BC295" s="37">
        <v>-5.1546391752577314</v>
      </c>
      <c r="BD295" s="40">
        <v>-2</v>
      </c>
      <c r="BE295" s="37">
        <v>-4.4444444444444446</v>
      </c>
      <c r="BF295" s="40">
        <v>-3</v>
      </c>
      <c r="BG295" s="37">
        <v>-5.7692307692307692</v>
      </c>
      <c r="BH295" s="38">
        <v>34</v>
      </c>
      <c r="BI295" s="38">
        <v>37</v>
      </c>
      <c r="BJ295" s="38">
        <v>15</v>
      </c>
      <c r="BK295" s="38">
        <v>22</v>
      </c>
      <c r="BL295" s="37">
        <v>91.891891891891902</v>
      </c>
      <c r="BM295" s="37">
        <v>93.333333333333329</v>
      </c>
      <c r="BN295" s="37">
        <v>90.909090909090907</v>
      </c>
      <c r="BO295" s="38">
        <v>60</v>
      </c>
      <c r="BP295" s="38">
        <v>28</v>
      </c>
      <c r="BQ295" s="38">
        <v>32</v>
      </c>
      <c r="BR295" s="37">
        <v>56.666666666666664</v>
      </c>
      <c r="BS295" s="37">
        <v>50</v>
      </c>
      <c r="BT295" s="37">
        <v>62.5</v>
      </c>
      <c r="BU295" s="2"/>
      <c r="BV295" s="2"/>
    </row>
    <row r="296" spans="1:74" ht="15.75" x14ac:dyDescent="0.3">
      <c r="A296" s="2" t="s">
        <v>54</v>
      </c>
      <c r="B296" s="2" t="s">
        <v>1393</v>
      </c>
      <c r="C296" s="2" t="s">
        <v>1856</v>
      </c>
      <c r="D296" s="2" t="s">
        <v>674</v>
      </c>
      <c r="E296" s="2" t="s">
        <v>674</v>
      </c>
      <c r="F296" s="2" t="s">
        <v>675</v>
      </c>
      <c r="G296" s="2" t="s">
        <v>60</v>
      </c>
      <c r="H296" s="2" t="s">
        <v>61</v>
      </c>
      <c r="I296" s="2" t="s">
        <v>62</v>
      </c>
      <c r="J296" s="2" t="s">
        <v>63</v>
      </c>
      <c r="K296" s="2" t="s">
        <v>159</v>
      </c>
      <c r="L296" s="2" t="s">
        <v>1652</v>
      </c>
      <c r="M296" s="2">
        <v>75</v>
      </c>
      <c r="N296" s="2" t="s">
        <v>1602</v>
      </c>
      <c r="O296" s="2" t="s">
        <v>1653</v>
      </c>
      <c r="P296" s="2" t="s">
        <v>80</v>
      </c>
      <c r="Q296" s="2" t="s">
        <v>69</v>
      </c>
      <c r="R296" s="2" t="s">
        <v>70</v>
      </c>
      <c r="S296" s="2" t="s">
        <v>1654</v>
      </c>
      <c r="T296" s="2" t="s">
        <v>1655</v>
      </c>
      <c r="U296" s="2" t="s">
        <v>1656</v>
      </c>
      <c r="V296" s="2" t="s">
        <v>1655</v>
      </c>
      <c r="W296" s="2" t="s">
        <v>84</v>
      </c>
      <c r="X296" s="38">
        <v>107</v>
      </c>
      <c r="Y296" s="38">
        <v>26</v>
      </c>
      <c r="Z296" s="38">
        <v>81</v>
      </c>
      <c r="AA296" s="38">
        <v>107</v>
      </c>
      <c r="AB296" s="38">
        <v>26</v>
      </c>
      <c r="AC296" s="38">
        <v>81</v>
      </c>
      <c r="AD296" s="38">
        <v>0</v>
      </c>
      <c r="AE296" s="38">
        <v>0</v>
      </c>
      <c r="AF296" s="38">
        <v>0</v>
      </c>
      <c r="AG296" s="38">
        <v>0</v>
      </c>
      <c r="AH296" s="38">
        <v>0</v>
      </c>
      <c r="AI296" s="38">
        <v>0</v>
      </c>
      <c r="AJ296" s="38">
        <v>0</v>
      </c>
      <c r="AK296" s="37">
        <v>0</v>
      </c>
      <c r="AL296" s="40">
        <f t="shared" si="16"/>
        <v>0</v>
      </c>
      <c r="AM296" s="37">
        <f t="shared" si="17"/>
        <v>0</v>
      </c>
      <c r="AN296" s="40">
        <f t="shared" si="18"/>
        <v>0</v>
      </c>
      <c r="AO296" s="37">
        <f t="shared" si="19"/>
        <v>0</v>
      </c>
      <c r="AP296" s="38">
        <v>105</v>
      </c>
      <c r="AQ296" s="38">
        <v>27</v>
      </c>
      <c r="AR296" s="38">
        <v>78</v>
      </c>
      <c r="AS296" s="38">
        <v>43</v>
      </c>
      <c r="AT296" s="38">
        <v>12</v>
      </c>
      <c r="AU296" s="38">
        <v>31</v>
      </c>
      <c r="AV296" s="38">
        <v>19</v>
      </c>
      <c r="AW296" s="38">
        <v>1</v>
      </c>
      <c r="AX296" s="38">
        <v>18</v>
      </c>
      <c r="AY296" s="38">
        <v>107</v>
      </c>
      <c r="AZ296" s="38">
        <v>26</v>
      </c>
      <c r="BA296" s="38">
        <v>81</v>
      </c>
      <c r="BB296" s="38">
        <v>26</v>
      </c>
      <c r="BC296" s="37">
        <v>24.299065420560748</v>
      </c>
      <c r="BD296" s="40">
        <v>10</v>
      </c>
      <c r="BE296" s="37">
        <v>38.461538461538467</v>
      </c>
      <c r="BF296" s="40">
        <v>16</v>
      </c>
      <c r="BG296" s="37">
        <v>19.753086419753085</v>
      </c>
      <c r="BH296" s="38">
        <v>19</v>
      </c>
      <c r="BI296" s="38">
        <v>22</v>
      </c>
      <c r="BJ296" s="38">
        <v>1</v>
      </c>
      <c r="BK296" s="38">
        <v>21</v>
      </c>
      <c r="BL296" s="37">
        <v>86.36363636363636</v>
      </c>
      <c r="BM296" s="37">
        <v>100</v>
      </c>
      <c r="BN296" s="37">
        <v>85.714285714285708</v>
      </c>
      <c r="BO296" s="38">
        <v>36</v>
      </c>
      <c r="BP296" s="38">
        <v>6</v>
      </c>
      <c r="BQ296" s="38">
        <v>30</v>
      </c>
      <c r="BR296" s="37">
        <v>52.777777777777779</v>
      </c>
      <c r="BS296" s="37">
        <v>16.666666666666664</v>
      </c>
      <c r="BT296" s="37">
        <v>60</v>
      </c>
      <c r="BU296" s="2"/>
      <c r="BV296" s="2"/>
    </row>
    <row r="297" spans="1:74" ht="15.75" x14ac:dyDescent="0.3">
      <c r="A297" s="2" t="s">
        <v>54</v>
      </c>
      <c r="B297" s="2" t="s">
        <v>1393</v>
      </c>
      <c r="C297" s="2" t="s">
        <v>1856</v>
      </c>
      <c r="D297" s="2" t="s">
        <v>674</v>
      </c>
      <c r="E297" s="2" t="s">
        <v>674</v>
      </c>
      <c r="F297" s="2" t="s">
        <v>675</v>
      </c>
      <c r="G297" s="2" t="s">
        <v>60</v>
      </c>
      <c r="H297" s="2" t="s">
        <v>61</v>
      </c>
      <c r="I297" s="2" t="s">
        <v>62</v>
      </c>
      <c r="J297" s="2" t="s">
        <v>63</v>
      </c>
      <c r="K297" s="2" t="s">
        <v>1657</v>
      </c>
      <c r="L297" s="2" t="s">
        <v>1658</v>
      </c>
      <c r="M297" s="2">
        <v>20</v>
      </c>
      <c r="N297" s="2" t="s">
        <v>1659</v>
      </c>
      <c r="O297" s="2" t="s">
        <v>1660</v>
      </c>
      <c r="P297" s="2" t="s">
        <v>1661</v>
      </c>
      <c r="Q297" s="2" t="s">
        <v>69</v>
      </c>
      <c r="R297" s="2" t="s">
        <v>70</v>
      </c>
      <c r="S297" s="2" t="s">
        <v>1662</v>
      </c>
      <c r="T297" s="2" t="s">
        <v>1663</v>
      </c>
      <c r="U297" s="2" t="s">
        <v>1664</v>
      </c>
      <c r="V297" s="2" t="s">
        <v>1663</v>
      </c>
      <c r="W297" s="2" t="s">
        <v>1651</v>
      </c>
      <c r="X297" s="38">
        <v>56</v>
      </c>
      <c r="Y297" s="38">
        <v>35</v>
      </c>
      <c r="Z297" s="38">
        <v>21</v>
      </c>
      <c r="AA297" s="38">
        <v>50</v>
      </c>
      <c r="AB297" s="38">
        <v>30</v>
      </c>
      <c r="AC297" s="38">
        <v>20</v>
      </c>
      <c r="AD297" s="38">
        <v>4</v>
      </c>
      <c r="AE297" s="38">
        <v>4</v>
      </c>
      <c r="AF297" s="38">
        <v>0</v>
      </c>
      <c r="AG297" s="38">
        <v>0</v>
      </c>
      <c r="AH297" s="38">
        <v>0</v>
      </c>
      <c r="AI297" s="38">
        <v>0</v>
      </c>
      <c r="AJ297" s="38">
        <v>2</v>
      </c>
      <c r="AK297" s="37">
        <v>3.5714285714285712</v>
      </c>
      <c r="AL297" s="40">
        <f t="shared" si="16"/>
        <v>1</v>
      </c>
      <c r="AM297" s="37">
        <f t="shared" si="17"/>
        <v>2.8571428571428572</v>
      </c>
      <c r="AN297" s="40">
        <f t="shared" si="18"/>
        <v>1</v>
      </c>
      <c r="AO297" s="37">
        <f t="shared" si="19"/>
        <v>4.7619047619047619</v>
      </c>
      <c r="AP297" s="38">
        <v>57</v>
      </c>
      <c r="AQ297" s="38">
        <v>32</v>
      </c>
      <c r="AR297" s="38">
        <v>25</v>
      </c>
      <c r="AS297" s="38">
        <v>31</v>
      </c>
      <c r="AT297" s="38">
        <v>15</v>
      </c>
      <c r="AU297" s="38">
        <v>16</v>
      </c>
      <c r="AV297" s="38">
        <v>29</v>
      </c>
      <c r="AW297" s="38">
        <v>17</v>
      </c>
      <c r="AX297" s="38">
        <v>12</v>
      </c>
      <c r="AY297" s="38">
        <v>62</v>
      </c>
      <c r="AZ297" s="38">
        <v>34</v>
      </c>
      <c r="BA297" s="38">
        <v>28</v>
      </c>
      <c r="BB297" s="38">
        <v>7</v>
      </c>
      <c r="BC297" s="37">
        <v>11.29032258064516</v>
      </c>
      <c r="BD297" s="40">
        <v>0</v>
      </c>
      <c r="BE297" s="37">
        <v>0</v>
      </c>
      <c r="BF297" s="40">
        <v>7</v>
      </c>
      <c r="BG297" s="37">
        <v>25</v>
      </c>
      <c r="BH297" s="38">
        <v>29</v>
      </c>
      <c r="BI297" s="38">
        <v>32</v>
      </c>
      <c r="BJ297" s="38">
        <v>16</v>
      </c>
      <c r="BK297" s="38">
        <v>16</v>
      </c>
      <c r="BL297" s="37">
        <v>90.625</v>
      </c>
      <c r="BM297" s="37">
        <v>106.25</v>
      </c>
      <c r="BN297" s="37">
        <v>75</v>
      </c>
      <c r="BO297" s="38">
        <v>36</v>
      </c>
      <c r="BP297" s="38">
        <v>20</v>
      </c>
      <c r="BQ297" s="38">
        <v>16</v>
      </c>
      <c r="BR297" s="37">
        <v>80.555555555555557</v>
      </c>
      <c r="BS297" s="37">
        <v>85</v>
      </c>
      <c r="BT297" s="37">
        <v>75</v>
      </c>
      <c r="BU297" s="2"/>
      <c r="BV297" s="2"/>
    </row>
    <row r="298" spans="1:74" ht="15.75" x14ac:dyDescent="0.3">
      <c r="A298" s="2" t="s">
        <v>54</v>
      </c>
      <c r="B298" s="2" t="s">
        <v>1393</v>
      </c>
      <c r="C298" s="2" t="s">
        <v>1856</v>
      </c>
      <c r="D298" s="2" t="s">
        <v>674</v>
      </c>
      <c r="E298" s="2" t="s">
        <v>674</v>
      </c>
      <c r="F298" s="2" t="s">
        <v>675</v>
      </c>
      <c r="G298" s="2" t="s">
        <v>60</v>
      </c>
      <c r="H298" s="2" t="s">
        <v>61</v>
      </c>
      <c r="I298" s="2" t="s">
        <v>62</v>
      </c>
      <c r="J298" s="2" t="s">
        <v>63</v>
      </c>
      <c r="K298" s="2" t="s">
        <v>97</v>
      </c>
      <c r="L298" s="2" t="s">
        <v>98</v>
      </c>
      <c r="M298" s="2">
        <v>130</v>
      </c>
      <c r="N298" s="2" t="s">
        <v>1665</v>
      </c>
      <c r="O298" s="2" t="s">
        <v>1666</v>
      </c>
      <c r="P298" s="2" t="s">
        <v>80</v>
      </c>
      <c r="Q298" s="2" t="s">
        <v>69</v>
      </c>
      <c r="R298" s="2" t="s">
        <v>70</v>
      </c>
      <c r="S298" s="2" t="s">
        <v>1667</v>
      </c>
      <c r="T298" s="2" t="s">
        <v>1668</v>
      </c>
      <c r="U298" s="2" t="s">
        <v>1669</v>
      </c>
      <c r="V298" s="2" t="s">
        <v>1668</v>
      </c>
      <c r="W298" s="2" t="s">
        <v>1651</v>
      </c>
      <c r="X298" s="38">
        <v>66</v>
      </c>
      <c r="Y298" s="38">
        <v>21</v>
      </c>
      <c r="Z298" s="38">
        <v>45</v>
      </c>
      <c r="AA298" s="38">
        <v>54</v>
      </c>
      <c r="AB298" s="38">
        <v>16</v>
      </c>
      <c r="AC298" s="38">
        <v>38</v>
      </c>
      <c r="AD298" s="38">
        <v>0</v>
      </c>
      <c r="AE298" s="38">
        <v>0</v>
      </c>
      <c r="AF298" s="38">
        <v>0</v>
      </c>
      <c r="AG298" s="38">
        <v>0</v>
      </c>
      <c r="AH298" s="38">
        <v>0</v>
      </c>
      <c r="AI298" s="38">
        <v>0</v>
      </c>
      <c r="AJ298" s="38">
        <v>12</v>
      </c>
      <c r="AK298" s="37">
        <v>18.181818181818183</v>
      </c>
      <c r="AL298" s="40">
        <f t="shared" si="16"/>
        <v>5</v>
      </c>
      <c r="AM298" s="37">
        <f t="shared" si="17"/>
        <v>23.809523809523807</v>
      </c>
      <c r="AN298" s="40">
        <f t="shared" si="18"/>
        <v>7</v>
      </c>
      <c r="AO298" s="37">
        <f t="shared" si="19"/>
        <v>15.555555555555555</v>
      </c>
      <c r="AP298" s="38">
        <v>66</v>
      </c>
      <c r="AQ298" s="38">
        <v>22</v>
      </c>
      <c r="AR298" s="38">
        <v>44</v>
      </c>
      <c r="AS298" s="38">
        <v>22</v>
      </c>
      <c r="AT298" s="38">
        <v>9</v>
      </c>
      <c r="AU298" s="38">
        <v>13</v>
      </c>
      <c r="AV298" s="38">
        <v>23</v>
      </c>
      <c r="AW298" s="38">
        <v>12</v>
      </c>
      <c r="AX298" s="38">
        <v>11</v>
      </c>
      <c r="AY298" s="38">
        <v>77</v>
      </c>
      <c r="AZ298" s="38">
        <v>26</v>
      </c>
      <c r="BA298" s="38">
        <v>51</v>
      </c>
      <c r="BB298" s="38">
        <v>10</v>
      </c>
      <c r="BC298" s="37">
        <v>12.987012987012985</v>
      </c>
      <c r="BD298" s="40">
        <v>1</v>
      </c>
      <c r="BE298" s="37">
        <v>3.8461538461538463</v>
      </c>
      <c r="BF298" s="40">
        <v>9</v>
      </c>
      <c r="BG298" s="37">
        <v>17.647058823529413</v>
      </c>
      <c r="BH298" s="38">
        <v>23</v>
      </c>
      <c r="BI298" s="38">
        <v>25</v>
      </c>
      <c r="BJ298" s="38">
        <v>8</v>
      </c>
      <c r="BK298" s="38">
        <v>17</v>
      </c>
      <c r="BL298" s="37">
        <v>92</v>
      </c>
      <c r="BM298" s="37">
        <v>150</v>
      </c>
      <c r="BN298" s="37">
        <v>64.705882352941174</v>
      </c>
      <c r="BO298" s="38">
        <v>34</v>
      </c>
      <c r="BP298" s="38">
        <v>12</v>
      </c>
      <c r="BQ298" s="38">
        <v>22</v>
      </c>
      <c r="BR298" s="37">
        <v>67.64705882352942</v>
      </c>
      <c r="BS298" s="37">
        <v>100</v>
      </c>
      <c r="BT298" s="37">
        <v>50</v>
      </c>
      <c r="BU298" s="2"/>
      <c r="BV298" s="2"/>
    </row>
    <row r="299" spans="1:74" ht="15.75" x14ac:dyDescent="0.3">
      <c r="A299" s="2" t="s">
        <v>54</v>
      </c>
      <c r="B299" s="2" t="s">
        <v>1393</v>
      </c>
      <c r="C299" s="2" t="s">
        <v>1856</v>
      </c>
      <c r="D299" s="2" t="s">
        <v>674</v>
      </c>
      <c r="E299" s="2" t="s">
        <v>674</v>
      </c>
      <c r="F299" s="2" t="s">
        <v>675</v>
      </c>
      <c r="G299" s="2" t="s">
        <v>60</v>
      </c>
      <c r="H299" s="2" t="s">
        <v>61</v>
      </c>
      <c r="I299" s="2" t="s">
        <v>62</v>
      </c>
      <c r="J299" s="2" t="s">
        <v>63</v>
      </c>
      <c r="K299" s="2" t="s">
        <v>1670</v>
      </c>
      <c r="L299" s="2" t="s">
        <v>204</v>
      </c>
      <c r="M299" s="2">
        <v>308</v>
      </c>
      <c r="N299" s="2" t="s">
        <v>1671</v>
      </c>
      <c r="O299" s="2" t="s">
        <v>1672</v>
      </c>
      <c r="P299" s="2" t="s">
        <v>80</v>
      </c>
      <c r="Q299" s="2" t="s">
        <v>69</v>
      </c>
      <c r="R299" s="2" t="s">
        <v>70</v>
      </c>
      <c r="S299" s="2" t="s">
        <v>1673</v>
      </c>
      <c r="T299" s="2" t="s">
        <v>1674</v>
      </c>
      <c r="U299" s="2" t="s">
        <v>1675</v>
      </c>
      <c r="V299" s="2" t="s">
        <v>1674</v>
      </c>
      <c r="W299" s="2" t="s">
        <v>84</v>
      </c>
      <c r="X299" s="38">
        <v>17</v>
      </c>
      <c r="Y299" s="38">
        <v>14</v>
      </c>
      <c r="Z299" s="38">
        <v>3</v>
      </c>
      <c r="AA299" s="38">
        <v>17</v>
      </c>
      <c r="AB299" s="38">
        <v>14</v>
      </c>
      <c r="AC299" s="38">
        <v>3</v>
      </c>
      <c r="AD299" s="38">
        <v>0</v>
      </c>
      <c r="AE299" s="38">
        <v>0</v>
      </c>
      <c r="AF299" s="38">
        <v>0</v>
      </c>
      <c r="AG299" s="38">
        <v>6</v>
      </c>
      <c r="AH299" s="38">
        <v>4</v>
      </c>
      <c r="AI299" s="38">
        <v>2</v>
      </c>
      <c r="AJ299" s="38">
        <v>0</v>
      </c>
      <c r="AK299" s="37">
        <v>0</v>
      </c>
      <c r="AL299" s="40">
        <f t="shared" si="16"/>
        <v>0</v>
      </c>
      <c r="AM299" s="37">
        <f t="shared" si="17"/>
        <v>0</v>
      </c>
      <c r="AN299" s="40">
        <f t="shared" si="18"/>
        <v>0</v>
      </c>
      <c r="AO299" s="37">
        <f t="shared" si="19"/>
        <v>0</v>
      </c>
      <c r="AP299" s="38">
        <v>13</v>
      </c>
      <c r="AQ299" s="38">
        <v>11</v>
      </c>
      <c r="AR299" s="38">
        <v>2</v>
      </c>
      <c r="AS299" s="38">
        <v>4</v>
      </c>
      <c r="AT299" s="38">
        <v>3</v>
      </c>
      <c r="AU299" s="38">
        <v>1</v>
      </c>
      <c r="AV299" s="38">
        <v>6</v>
      </c>
      <c r="AW299" s="38">
        <v>6</v>
      </c>
      <c r="AX299" s="38">
        <v>0</v>
      </c>
      <c r="AY299" s="38">
        <v>9</v>
      </c>
      <c r="AZ299" s="38">
        <v>8</v>
      </c>
      <c r="BA299" s="38">
        <v>1</v>
      </c>
      <c r="BB299" s="38">
        <v>-6</v>
      </c>
      <c r="BC299" s="37">
        <v>-66.666666666666657</v>
      </c>
      <c r="BD299" s="40">
        <v>-6</v>
      </c>
      <c r="BE299" s="37">
        <v>-75</v>
      </c>
      <c r="BF299" s="40">
        <v>0</v>
      </c>
      <c r="BG299" s="37">
        <v>0</v>
      </c>
      <c r="BH299" s="38">
        <v>6</v>
      </c>
      <c r="BI299" s="38">
        <v>1</v>
      </c>
      <c r="BJ299" s="38">
        <v>0</v>
      </c>
      <c r="BK299" s="38">
        <v>1</v>
      </c>
      <c r="BL299" s="37">
        <v>600</v>
      </c>
      <c r="BM299" s="37" t="s">
        <v>1860</v>
      </c>
      <c r="BN299" s="37">
        <v>0</v>
      </c>
      <c r="BO299" s="38">
        <v>10</v>
      </c>
      <c r="BP299" s="38">
        <v>8</v>
      </c>
      <c r="BQ299" s="38">
        <v>2</v>
      </c>
      <c r="BR299" s="37">
        <v>60</v>
      </c>
      <c r="BS299" s="37">
        <v>75</v>
      </c>
      <c r="BT299" s="37">
        <v>0</v>
      </c>
      <c r="BU299" s="2"/>
      <c r="BV299" s="2"/>
    </row>
    <row r="300" spans="1:74" ht="15.75" x14ac:dyDescent="0.3">
      <c r="A300" s="2" t="s">
        <v>54</v>
      </c>
      <c r="B300" s="2" t="s">
        <v>1393</v>
      </c>
      <c r="C300" s="2" t="s">
        <v>1857</v>
      </c>
      <c r="D300" s="2" t="s">
        <v>674</v>
      </c>
      <c r="E300" s="2" t="s">
        <v>674</v>
      </c>
      <c r="F300" s="2" t="s">
        <v>675</v>
      </c>
      <c r="G300" s="2" t="s">
        <v>60</v>
      </c>
      <c r="H300" s="2" t="s">
        <v>61</v>
      </c>
      <c r="I300" s="2" t="s">
        <v>178</v>
      </c>
      <c r="J300" s="2" t="s">
        <v>178</v>
      </c>
      <c r="K300" s="2" t="s">
        <v>159</v>
      </c>
      <c r="L300" s="2" t="s">
        <v>1676</v>
      </c>
      <c r="M300" s="2">
        <v>22</v>
      </c>
      <c r="N300" s="2" t="s">
        <v>1677</v>
      </c>
      <c r="O300" s="2" t="s">
        <v>1678</v>
      </c>
      <c r="P300" s="2" t="s">
        <v>80</v>
      </c>
      <c r="Q300" s="2" t="s">
        <v>90</v>
      </c>
      <c r="R300" s="2" t="s">
        <v>91</v>
      </c>
      <c r="S300" s="2" t="s">
        <v>1679</v>
      </c>
      <c r="T300" s="2" t="s">
        <v>1680</v>
      </c>
      <c r="U300" s="2" t="s">
        <v>1681</v>
      </c>
      <c r="V300" s="2" t="s">
        <v>1680</v>
      </c>
      <c r="W300" s="2" t="s">
        <v>113</v>
      </c>
      <c r="X300" s="38">
        <v>3</v>
      </c>
      <c r="Y300" s="38">
        <v>0</v>
      </c>
      <c r="Z300" s="38">
        <v>3</v>
      </c>
      <c r="AA300" s="38">
        <v>3</v>
      </c>
      <c r="AB300" s="38">
        <v>0</v>
      </c>
      <c r="AC300" s="38">
        <v>3</v>
      </c>
      <c r="AD300" s="38">
        <v>0</v>
      </c>
      <c r="AE300" s="38">
        <v>0</v>
      </c>
      <c r="AF300" s="38">
        <v>0</v>
      </c>
      <c r="AG300" s="38">
        <v>2</v>
      </c>
      <c r="AH300" s="38">
        <v>0</v>
      </c>
      <c r="AI300" s="38">
        <v>2</v>
      </c>
      <c r="AJ300" s="38">
        <v>0</v>
      </c>
      <c r="AK300" s="37">
        <v>0</v>
      </c>
      <c r="AL300" s="40">
        <f t="shared" si="16"/>
        <v>0</v>
      </c>
      <c r="AM300" s="37" t="e">
        <f t="shared" si="17"/>
        <v>#DIV/0!</v>
      </c>
      <c r="AN300" s="40">
        <f t="shared" si="18"/>
        <v>0</v>
      </c>
      <c r="AO300" s="37">
        <f t="shared" si="19"/>
        <v>0</v>
      </c>
      <c r="AP300" s="38">
        <v>9</v>
      </c>
      <c r="AQ300" s="38">
        <v>0</v>
      </c>
      <c r="AR300" s="38">
        <v>9</v>
      </c>
      <c r="AS300" s="38">
        <v>4</v>
      </c>
      <c r="AT300" s="38">
        <v>0</v>
      </c>
      <c r="AU300" s="38">
        <v>4</v>
      </c>
      <c r="AV300" s="38">
        <v>2</v>
      </c>
      <c r="AW300" s="38">
        <v>0</v>
      </c>
      <c r="AX300" s="38">
        <v>2</v>
      </c>
      <c r="AY300" s="38">
        <v>7</v>
      </c>
      <c r="AZ300" s="38">
        <v>0</v>
      </c>
      <c r="BA300" s="38">
        <v>7</v>
      </c>
      <c r="BB300" s="38">
        <v>0</v>
      </c>
      <c r="BC300" s="37">
        <v>0</v>
      </c>
      <c r="BD300" s="40">
        <v>0</v>
      </c>
      <c r="BE300" s="37" t="s">
        <v>1860</v>
      </c>
      <c r="BF300" s="40">
        <v>0</v>
      </c>
      <c r="BG300" s="37">
        <v>0</v>
      </c>
      <c r="BH300" s="38">
        <v>2</v>
      </c>
      <c r="BI300" s="38">
        <v>3</v>
      </c>
      <c r="BJ300" s="38">
        <v>0</v>
      </c>
      <c r="BK300" s="38">
        <v>3</v>
      </c>
      <c r="BL300" s="37">
        <v>66.666666666666657</v>
      </c>
      <c r="BM300" s="37" t="s">
        <v>1860</v>
      </c>
      <c r="BN300" s="37">
        <v>66.666666666666657</v>
      </c>
      <c r="BO300" s="38">
        <v>3</v>
      </c>
      <c r="BP300" s="38">
        <v>0</v>
      </c>
      <c r="BQ300" s="38">
        <v>3</v>
      </c>
      <c r="BR300" s="37">
        <v>66.666666666666657</v>
      </c>
      <c r="BS300" s="37" t="s">
        <v>1860</v>
      </c>
      <c r="BT300" s="37">
        <v>66.666666666666657</v>
      </c>
      <c r="BU300" s="2"/>
      <c r="BV300" s="2"/>
    </row>
    <row r="301" spans="1:74" ht="15.75" x14ac:dyDescent="0.3">
      <c r="A301" s="2" t="s">
        <v>54</v>
      </c>
      <c r="B301" s="2" t="s">
        <v>1393</v>
      </c>
      <c r="C301" s="2" t="s">
        <v>1857</v>
      </c>
      <c r="D301" s="2" t="s">
        <v>674</v>
      </c>
      <c r="E301" s="2" t="s">
        <v>674</v>
      </c>
      <c r="F301" s="2" t="s">
        <v>675</v>
      </c>
      <c r="G301" s="2" t="s">
        <v>60</v>
      </c>
      <c r="H301" s="2" t="s">
        <v>61</v>
      </c>
      <c r="I301" s="2" t="s">
        <v>62</v>
      </c>
      <c r="J301" s="2" t="s">
        <v>63</v>
      </c>
      <c r="K301" s="2" t="s">
        <v>1093</v>
      </c>
      <c r="L301" s="2" t="s">
        <v>777</v>
      </c>
      <c r="M301" s="2">
        <v>137</v>
      </c>
      <c r="N301" s="2" t="s">
        <v>1682</v>
      </c>
      <c r="O301" s="2" t="s">
        <v>1683</v>
      </c>
      <c r="P301" s="2" t="s">
        <v>80</v>
      </c>
      <c r="Q301" s="2" t="s">
        <v>69</v>
      </c>
      <c r="R301" s="2" t="s">
        <v>70</v>
      </c>
      <c r="S301" s="2" t="s">
        <v>1684</v>
      </c>
      <c r="T301" s="2" t="s">
        <v>1685</v>
      </c>
      <c r="U301" s="2" t="s">
        <v>1686</v>
      </c>
      <c r="V301" s="2" t="s">
        <v>1685</v>
      </c>
      <c r="W301" s="2" t="s">
        <v>74</v>
      </c>
      <c r="X301" s="38">
        <v>31</v>
      </c>
      <c r="Y301" s="38">
        <v>9</v>
      </c>
      <c r="Z301" s="38">
        <v>22</v>
      </c>
      <c r="AA301" s="38">
        <v>30</v>
      </c>
      <c r="AB301" s="38">
        <v>9</v>
      </c>
      <c r="AC301" s="38">
        <v>21</v>
      </c>
      <c r="AD301" s="38">
        <v>0</v>
      </c>
      <c r="AE301" s="38">
        <v>0</v>
      </c>
      <c r="AF301" s="38">
        <v>0</v>
      </c>
      <c r="AG301" s="38">
        <v>11</v>
      </c>
      <c r="AH301" s="38">
        <v>3</v>
      </c>
      <c r="AI301" s="38">
        <v>8</v>
      </c>
      <c r="AJ301" s="38">
        <v>1</v>
      </c>
      <c r="AK301" s="37">
        <v>3.225806451612903</v>
      </c>
      <c r="AL301" s="40">
        <f t="shared" si="16"/>
        <v>0</v>
      </c>
      <c r="AM301" s="37">
        <f t="shared" si="17"/>
        <v>0</v>
      </c>
      <c r="AN301" s="40">
        <f t="shared" si="18"/>
        <v>1</v>
      </c>
      <c r="AO301" s="37">
        <f t="shared" si="19"/>
        <v>4.5454545454545459</v>
      </c>
      <c r="AP301" s="38">
        <v>26</v>
      </c>
      <c r="AQ301" s="38">
        <v>9</v>
      </c>
      <c r="AR301" s="38">
        <v>17</v>
      </c>
      <c r="AS301" s="38">
        <v>8</v>
      </c>
      <c r="AT301" s="38">
        <v>2</v>
      </c>
      <c r="AU301" s="38">
        <v>6</v>
      </c>
      <c r="AV301" s="38">
        <v>12</v>
      </c>
      <c r="AW301" s="38">
        <v>2</v>
      </c>
      <c r="AX301" s="38">
        <v>10</v>
      </c>
      <c r="AY301" s="38">
        <v>35</v>
      </c>
      <c r="AZ301" s="38">
        <v>10</v>
      </c>
      <c r="BA301" s="38">
        <v>25</v>
      </c>
      <c r="BB301" s="38">
        <v>5</v>
      </c>
      <c r="BC301" s="37">
        <v>14.285714285714285</v>
      </c>
      <c r="BD301" s="40">
        <v>1</v>
      </c>
      <c r="BE301" s="37">
        <v>10</v>
      </c>
      <c r="BF301" s="40">
        <v>4</v>
      </c>
      <c r="BG301" s="37">
        <v>16</v>
      </c>
      <c r="BH301" s="38">
        <v>12</v>
      </c>
      <c r="BI301" s="38">
        <v>13</v>
      </c>
      <c r="BJ301" s="38">
        <v>2</v>
      </c>
      <c r="BK301" s="38">
        <v>11</v>
      </c>
      <c r="BL301" s="37">
        <v>92.307692307692307</v>
      </c>
      <c r="BM301" s="37">
        <v>100</v>
      </c>
      <c r="BN301" s="37">
        <v>90.909090909090907</v>
      </c>
      <c r="BO301" s="38">
        <v>17</v>
      </c>
      <c r="BP301" s="38">
        <v>5</v>
      </c>
      <c r="BQ301" s="38">
        <v>12</v>
      </c>
      <c r="BR301" s="37">
        <v>70.588235294117652</v>
      </c>
      <c r="BS301" s="37">
        <v>40</v>
      </c>
      <c r="BT301" s="37">
        <v>83.333333333333343</v>
      </c>
      <c r="BU301" s="2"/>
      <c r="BV301" s="2"/>
    </row>
    <row r="302" spans="1:74" ht="15.75" x14ac:dyDescent="0.3">
      <c r="A302" s="2" t="s">
        <v>54</v>
      </c>
      <c r="B302" s="2" t="s">
        <v>55</v>
      </c>
      <c r="C302" s="2" t="s">
        <v>56</v>
      </c>
      <c r="D302" s="2" t="s">
        <v>674</v>
      </c>
      <c r="E302" s="2" t="s">
        <v>674</v>
      </c>
      <c r="F302" s="2" t="s">
        <v>675</v>
      </c>
      <c r="G302" s="2" t="s">
        <v>60</v>
      </c>
      <c r="H302" s="2" t="s">
        <v>61</v>
      </c>
      <c r="I302" s="2" t="s">
        <v>62</v>
      </c>
      <c r="J302" s="2" t="s">
        <v>63</v>
      </c>
      <c r="K302" s="2" t="s">
        <v>1687</v>
      </c>
      <c r="L302" s="2" t="s">
        <v>1688</v>
      </c>
      <c r="M302" s="2">
        <v>211</v>
      </c>
      <c r="N302" s="2" t="s">
        <v>1689</v>
      </c>
      <c r="O302" s="2" t="s">
        <v>1690</v>
      </c>
      <c r="P302" s="2" t="s">
        <v>80</v>
      </c>
      <c r="Q302" s="2" t="s">
        <v>69</v>
      </c>
      <c r="R302" s="2" t="s">
        <v>70</v>
      </c>
      <c r="S302" s="2" t="s">
        <v>1691</v>
      </c>
      <c r="T302" s="2" t="s">
        <v>1692</v>
      </c>
      <c r="U302" s="2" t="s">
        <v>1693</v>
      </c>
      <c r="V302" s="2" t="s">
        <v>1692</v>
      </c>
      <c r="W302" s="2" t="s">
        <v>74</v>
      </c>
      <c r="X302" s="38">
        <v>18</v>
      </c>
      <c r="Y302" s="38">
        <v>10</v>
      </c>
      <c r="Z302" s="38">
        <v>8</v>
      </c>
      <c r="AA302" s="38">
        <v>15</v>
      </c>
      <c r="AB302" s="38">
        <v>9</v>
      </c>
      <c r="AC302" s="38">
        <v>6</v>
      </c>
      <c r="AD302" s="38">
        <v>3</v>
      </c>
      <c r="AE302" s="38">
        <v>1</v>
      </c>
      <c r="AF302" s="38">
        <v>2</v>
      </c>
      <c r="AG302" s="38">
        <v>0</v>
      </c>
      <c r="AH302" s="38">
        <v>0</v>
      </c>
      <c r="AI302" s="38">
        <v>0</v>
      </c>
      <c r="AJ302" s="38">
        <v>0</v>
      </c>
      <c r="AK302" s="37">
        <v>0</v>
      </c>
      <c r="AL302" s="40">
        <f t="shared" si="16"/>
        <v>0</v>
      </c>
      <c r="AM302" s="37">
        <f t="shared" si="17"/>
        <v>0</v>
      </c>
      <c r="AN302" s="40">
        <f t="shared" si="18"/>
        <v>0</v>
      </c>
      <c r="AO302" s="37">
        <f t="shared" si="19"/>
        <v>0</v>
      </c>
      <c r="AP302" s="38">
        <v>18</v>
      </c>
      <c r="AQ302" s="38">
        <v>10</v>
      </c>
      <c r="AR302" s="38">
        <v>8</v>
      </c>
      <c r="AS302" s="38">
        <v>0</v>
      </c>
      <c r="AT302" s="38">
        <v>0</v>
      </c>
      <c r="AU302" s="38">
        <v>0</v>
      </c>
      <c r="AV302" s="38">
        <v>0</v>
      </c>
      <c r="AW302" s="38">
        <v>0</v>
      </c>
      <c r="AX302" s="38">
        <v>0</v>
      </c>
      <c r="AY302" s="38">
        <v>18</v>
      </c>
      <c r="AZ302" s="38">
        <v>10</v>
      </c>
      <c r="BA302" s="38">
        <v>8</v>
      </c>
      <c r="BB302" s="38">
        <v>0</v>
      </c>
      <c r="BC302" s="37">
        <v>0</v>
      </c>
      <c r="BD302" s="40">
        <v>0</v>
      </c>
      <c r="BE302" s="37">
        <v>0</v>
      </c>
      <c r="BF302" s="40">
        <v>0</v>
      </c>
      <c r="BG302" s="37">
        <v>0</v>
      </c>
      <c r="BH302" s="38">
        <v>0</v>
      </c>
      <c r="BI302" s="38">
        <v>0</v>
      </c>
      <c r="BJ302" s="38">
        <v>0</v>
      </c>
      <c r="BK302" s="38">
        <v>0</v>
      </c>
      <c r="BL302" s="42" t="s">
        <v>1860</v>
      </c>
      <c r="BM302" s="37" t="s">
        <v>1860</v>
      </c>
      <c r="BN302" s="37" t="s">
        <v>1860</v>
      </c>
      <c r="BO302" s="38">
        <v>0</v>
      </c>
      <c r="BP302" s="38">
        <v>0</v>
      </c>
      <c r="BQ302" s="38">
        <v>0</v>
      </c>
      <c r="BR302" s="37" t="s">
        <v>1860</v>
      </c>
      <c r="BS302" s="37" t="s">
        <v>1860</v>
      </c>
      <c r="BT302" s="37" t="s">
        <v>1860</v>
      </c>
      <c r="BU302" s="2"/>
      <c r="BV302" s="2"/>
    </row>
    <row r="303" spans="1:74" ht="15.75" x14ac:dyDescent="0.3">
      <c r="A303" s="2" t="s">
        <v>54</v>
      </c>
      <c r="B303" s="2" t="s">
        <v>55</v>
      </c>
      <c r="C303" s="2" t="s">
        <v>105</v>
      </c>
      <c r="D303" s="2" t="s">
        <v>674</v>
      </c>
      <c r="E303" s="2" t="s">
        <v>674</v>
      </c>
      <c r="F303" s="2" t="s">
        <v>675</v>
      </c>
      <c r="G303" s="2" t="s">
        <v>60</v>
      </c>
      <c r="H303" s="2" t="s">
        <v>61</v>
      </c>
      <c r="I303" s="2" t="s">
        <v>122</v>
      </c>
      <c r="J303" s="2" t="s">
        <v>740</v>
      </c>
      <c r="K303" s="2" t="s">
        <v>943</v>
      </c>
      <c r="L303" s="2" t="s">
        <v>944</v>
      </c>
      <c r="M303" s="2">
        <v>35</v>
      </c>
      <c r="N303" s="2" t="s">
        <v>1694</v>
      </c>
      <c r="O303" s="2" t="s">
        <v>1695</v>
      </c>
      <c r="P303" s="2" t="s">
        <v>80</v>
      </c>
      <c r="Q303" s="2" t="s">
        <v>69</v>
      </c>
      <c r="R303" s="2" t="s">
        <v>70</v>
      </c>
      <c r="S303" s="2" t="s">
        <v>945</v>
      </c>
      <c r="T303" s="2" t="s">
        <v>946</v>
      </c>
      <c r="U303" s="2" t="s">
        <v>947</v>
      </c>
      <c r="V303" s="2" t="s">
        <v>946</v>
      </c>
      <c r="W303" s="2" t="s">
        <v>113</v>
      </c>
      <c r="X303" s="38">
        <v>45</v>
      </c>
      <c r="Y303" s="38">
        <v>25</v>
      </c>
      <c r="Z303" s="38">
        <v>20</v>
      </c>
      <c r="AA303" s="38">
        <v>45</v>
      </c>
      <c r="AB303" s="38">
        <v>25</v>
      </c>
      <c r="AC303" s="38">
        <v>20</v>
      </c>
      <c r="AD303" s="38">
        <v>0</v>
      </c>
      <c r="AE303" s="38">
        <v>0</v>
      </c>
      <c r="AF303" s="38">
        <v>0</v>
      </c>
      <c r="AG303" s="38">
        <v>0</v>
      </c>
      <c r="AH303" s="38">
        <v>0</v>
      </c>
      <c r="AI303" s="38">
        <v>0</v>
      </c>
      <c r="AJ303" s="38">
        <v>0</v>
      </c>
      <c r="AK303" s="37">
        <v>0</v>
      </c>
      <c r="AL303" s="40">
        <f t="shared" si="16"/>
        <v>0</v>
      </c>
      <c r="AM303" s="37">
        <f t="shared" si="17"/>
        <v>0</v>
      </c>
      <c r="AN303" s="40">
        <f t="shared" si="18"/>
        <v>0</v>
      </c>
      <c r="AO303" s="37">
        <f t="shared" si="19"/>
        <v>0</v>
      </c>
      <c r="AP303" s="38">
        <v>47</v>
      </c>
      <c r="AQ303" s="38">
        <v>30</v>
      </c>
      <c r="AR303" s="38">
        <v>17</v>
      </c>
      <c r="AS303" s="38">
        <v>11</v>
      </c>
      <c r="AT303" s="38">
        <v>8</v>
      </c>
      <c r="AU303" s="38">
        <v>3</v>
      </c>
      <c r="AV303" s="38">
        <v>6</v>
      </c>
      <c r="AW303" s="38">
        <v>5</v>
      </c>
      <c r="AX303" s="38">
        <v>1</v>
      </c>
      <c r="AY303" s="38">
        <v>45</v>
      </c>
      <c r="AZ303" s="38">
        <v>28</v>
      </c>
      <c r="BA303" s="38">
        <v>17</v>
      </c>
      <c r="BB303" s="38">
        <v>3</v>
      </c>
      <c r="BC303" s="37">
        <v>6.666666666666667</v>
      </c>
      <c r="BD303" s="40">
        <v>1</v>
      </c>
      <c r="BE303" s="37">
        <v>3.5714285714285712</v>
      </c>
      <c r="BF303" s="40">
        <v>2</v>
      </c>
      <c r="BG303" s="37">
        <v>11.76470588235294</v>
      </c>
      <c r="BH303" s="38">
        <v>6</v>
      </c>
      <c r="BI303" s="38">
        <v>6</v>
      </c>
      <c r="BJ303" s="38">
        <v>5</v>
      </c>
      <c r="BK303" s="38">
        <v>1</v>
      </c>
      <c r="BL303" s="37">
        <v>100</v>
      </c>
      <c r="BM303" s="37">
        <v>100</v>
      </c>
      <c r="BN303" s="37">
        <v>100</v>
      </c>
      <c r="BO303" s="38">
        <v>0</v>
      </c>
      <c r="BP303" s="38">
        <v>0</v>
      </c>
      <c r="BQ303" s="38">
        <v>0</v>
      </c>
      <c r="BR303" s="37" t="s">
        <v>1860</v>
      </c>
      <c r="BS303" s="37" t="s">
        <v>1860</v>
      </c>
      <c r="BT303" s="37" t="s">
        <v>1860</v>
      </c>
      <c r="BU303" s="2"/>
      <c r="BV303" s="2"/>
    </row>
    <row r="304" spans="1:74" ht="15.75" x14ac:dyDescent="0.3">
      <c r="A304" s="2" t="s">
        <v>54</v>
      </c>
      <c r="B304" s="2" t="s">
        <v>55</v>
      </c>
      <c r="C304" s="2" t="s">
        <v>56</v>
      </c>
      <c r="D304" s="2" t="s">
        <v>674</v>
      </c>
      <c r="E304" s="2" t="s">
        <v>674</v>
      </c>
      <c r="F304" s="2" t="s">
        <v>675</v>
      </c>
      <c r="G304" s="2" t="s">
        <v>60</v>
      </c>
      <c r="H304" s="2" t="s">
        <v>61</v>
      </c>
      <c r="I304" s="2" t="s">
        <v>178</v>
      </c>
      <c r="J304" s="2" t="s">
        <v>178</v>
      </c>
      <c r="K304" s="2" t="s">
        <v>159</v>
      </c>
      <c r="L304" s="2" t="s">
        <v>1347</v>
      </c>
      <c r="M304" s="2">
        <v>162</v>
      </c>
      <c r="N304" s="2" t="s">
        <v>1696</v>
      </c>
      <c r="O304" s="2" t="s">
        <v>1697</v>
      </c>
      <c r="P304" s="2" t="s">
        <v>80</v>
      </c>
      <c r="Q304" s="2" t="s">
        <v>90</v>
      </c>
      <c r="R304" s="2" t="s">
        <v>91</v>
      </c>
      <c r="S304" s="2" t="s">
        <v>1698</v>
      </c>
      <c r="T304" s="2" t="s">
        <v>1699</v>
      </c>
      <c r="U304" s="2" t="s">
        <v>1700</v>
      </c>
      <c r="V304" s="2" t="s">
        <v>1699</v>
      </c>
      <c r="W304" s="2" t="s">
        <v>1651</v>
      </c>
      <c r="X304" s="38">
        <v>61</v>
      </c>
      <c r="Y304" s="38">
        <v>16</v>
      </c>
      <c r="Z304" s="38">
        <v>45</v>
      </c>
      <c r="AA304" s="38">
        <v>61</v>
      </c>
      <c r="AB304" s="38">
        <v>16</v>
      </c>
      <c r="AC304" s="38">
        <v>45</v>
      </c>
      <c r="AD304" s="38">
        <v>0</v>
      </c>
      <c r="AE304" s="38">
        <v>0</v>
      </c>
      <c r="AF304" s="38">
        <v>0</v>
      </c>
      <c r="AG304" s="38">
        <v>0</v>
      </c>
      <c r="AH304" s="38">
        <v>0</v>
      </c>
      <c r="AI304" s="38">
        <v>0</v>
      </c>
      <c r="AJ304" s="38">
        <v>0</v>
      </c>
      <c r="AK304" s="37">
        <v>0</v>
      </c>
      <c r="AL304" s="40">
        <f t="shared" si="16"/>
        <v>0</v>
      </c>
      <c r="AM304" s="37">
        <f t="shared" si="17"/>
        <v>0</v>
      </c>
      <c r="AN304" s="40">
        <f t="shared" si="18"/>
        <v>0</v>
      </c>
      <c r="AO304" s="37">
        <f t="shared" si="19"/>
        <v>0</v>
      </c>
      <c r="AP304" s="38">
        <v>51</v>
      </c>
      <c r="AQ304" s="38">
        <v>23</v>
      </c>
      <c r="AR304" s="38">
        <v>28</v>
      </c>
      <c r="AS304" s="38">
        <v>15</v>
      </c>
      <c r="AT304" s="38">
        <v>12</v>
      </c>
      <c r="AU304" s="38">
        <v>3</v>
      </c>
      <c r="AV304" s="38">
        <v>18</v>
      </c>
      <c r="AW304" s="38">
        <v>3</v>
      </c>
      <c r="AX304" s="38">
        <v>15</v>
      </c>
      <c r="AY304" s="38">
        <v>77</v>
      </c>
      <c r="AZ304" s="38">
        <v>25</v>
      </c>
      <c r="BA304" s="38">
        <v>52</v>
      </c>
      <c r="BB304" s="38">
        <v>23</v>
      </c>
      <c r="BC304" s="37">
        <v>29.870129870129869</v>
      </c>
      <c r="BD304" s="40">
        <v>11</v>
      </c>
      <c r="BE304" s="37">
        <v>44</v>
      </c>
      <c r="BF304" s="40">
        <v>12</v>
      </c>
      <c r="BG304" s="37">
        <v>23.076923076923077</v>
      </c>
      <c r="BH304" s="38">
        <v>18</v>
      </c>
      <c r="BI304" s="38">
        <v>26</v>
      </c>
      <c r="BJ304" s="38">
        <v>8</v>
      </c>
      <c r="BK304" s="38">
        <v>18</v>
      </c>
      <c r="BL304" s="37">
        <v>69.230769230769226</v>
      </c>
      <c r="BM304" s="37">
        <v>37.5</v>
      </c>
      <c r="BN304" s="37">
        <v>83.333333333333343</v>
      </c>
      <c r="BO304" s="38">
        <v>0</v>
      </c>
      <c r="BP304" s="38">
        <v>0</v>
      </c>
      <c r="BQ304" s="38">
        <v>0</v>
      </c>
      <c r="BR304" s="37" t="s">
        <v>1860</v>
      </c>
      <c r="BS304" s="37" t="s">
        <v>1860</v>
      </c>
      <c r="BT304" s="37" t="s">
        <v>1860</v>
      </c>
      <c r="BU304" s="2"/>
      <c r="BV304" s="2"/>
    </row>
    <row r="305" spans="1:74" ht="15.75" x14ac:dyDescent="0.3">
      <c r="A305" s="2" t="s">
        <v>54</v>
      </c>
      <c r="B305" s="2" t="s">
        <v>55</v>
      </c>
      <c r="C305" s="2" t="s">
        <v>56</v>
      </c>
      <c r="D305" s="2" t="s">
        <v>674</v>
      </c>
      <c r="E305" s="2" t="s">
        <v>674</v>
      </c>
      <c r="F305" s="2" t="s">
        <v>675</v>
      </c>
      <c r="G305" s="2" t="s">
        <v>60</v>
      </c>
      <c r="H305" s="2" t="s">
        <v>61</v>
      </c>
      <c r="I305" s="2" t="s">
        <v>62</v>
      </c>
      <c r="J305" s="2" t="s">
        <v>63</v>
      </c>
      <c r="K305" s="2" t="s">
        <v>159</v>
      </c>
      <c r="L305" s="2" t="s">
        <v>1701</v>
      </c>
      <c r="M305" s="2">
        <v>66</v>
      </c>
      <c r="N305" s="2" t="s">
        <v>684</v>
      </c>
      <c r="O305" s="2" t="s">
        <v>685</v>
      </c>
      <c r="P305" s="2" t="s">
        <v>80</v>
      </c>
      <c r="Q305" s="2" t="s">
        <v>69</v>
      </c>
      <c r="R305" s="2" t="s">
        <v>70</v>
      </c>
      <c r="S305" s="2" t="s">
        <v>686</v>
      </c>
      <c r="T305" s="2" t="s">
        <v>687</v>
      </c>
      <c r="U305" s="2" t="s">
        <v>1702</v>
      </c>
      <c r="V305" s="2" t="s">
        <v>1703</v>
      </c>
      <c r="W305" s="2" t="s">
        <v>74</v>
      </c>
      <c r="X305" s="38">
        <v>42</v>
      </c>
      <c r="Y305" s="38">
        <v>28</v>
      </c>
      <c r="Z305" s="38">
        <v>14</v>
      </c>
      <c r="AA305" s="38">
        <v>32</v>
      </c>
      <c r="AB305" s="38">
        <v>21</v>
      </c>
      <c r="AC305" s="38">
        <v>11</v>
      </c>
      <c r="AD305" s="38">
        <v>10</v>
      </c>
      <c r="AE305" s="38">
        <v>7</v>
      </c>
      <c r="AF305" s="38">
        <v>3</v>
      </c>
      <c r="AG305" s="38">
        <v>0</v>
      </c>
      <c r="AH305" s="38">
        <v>0</v>
      </c>
      <c r="AI305" s="38">
        <v>0</v>
      </c>
      <c r="AJ305" s="38">
        <v>0</v>
      </c>
      <c r="AK305" s="37">
        <v>0</v>
      </c>
      <c r="AL305" s="40">
        <f t="shared" si="16"/>
        <v>0</v>
      </c>
      <c r="AM305" s="37">
        <f t="shared" si="17"/>
        <v>0</v>
      </c>
      <c r="AN305" s="40">
        <f t="shared" si="18"/>
        <v>0</v>
      </c>
      <c r="AO305" s="37">
        <f t="shared" si="19"/>
        <v>0</v>
      </c>
      <c r="AP305" s="38">
        <v>81</v>
      </c>
      <c r="AQ305" s="38">
        <v>46</v>
      </c>
      <c r="AR305" s="38">
        <v>35</v>
      </c>
      <c r="AS305" s="38">
        <v>31</v>
      </c>
      <c r="AT305" s="38">
        <v>17</v>
      </c>
      <c r="AU305" s="38">
        <v>14</v>
      </c>
      <c r="AV305" s="38">
        <v>0</v>
      </c>
      <c r="AW305" s="38">
        <v>0</v>
      </c>
      <c r="AX305" s="38">
        <v>0</v>
      </c>
      <c r="AY305" s="38">
        <v>45</v>
      </c>
      <c r="AZ305" s="38">
        <v>31</v>
      </c>
      <c r="BA305" s="38">
        <v>14</v>
      </c>
      <c r="BB305" s="38">
        <v>-5</v>
      </c>
      <c r="BC305" s="37">
        <v>-11.111111111111111</v>
      </c>
      <c r="BD305" s="40">
        <v>2</v>
      </c>
      <c r="BE305" s="37">
        <v>6.4516129032258061</v>
      </c>
      <c r="BF305" s="40">
        <v>-7</v>
      </c>
      <c r="BG305" s="37">
        <v>-50</v>
      </c>
      <c r="BH305" s="38">
        <v>0</v>
      </c>
      <c r="BI305" s="38">
        <v>0</v>
      </c>
      <c r="BJ305" s="38">
        <v>0</v>
      </c>
      <c r="BK305" s="38">
        <v>0</v>
      </c>
      <c r="BL305" s="42" t="s">
        <v>1860</v>
      </c>
      <c r="BM305" s="37" t="s">
        <v>1860</v>
      </c>
      <c r="BN305" s="37" t="s">
        <v>1860</v>
      </c>
      <c r="BO305" s="38">
        <v>0</v>
      </c>
      <c r="BP305" s="38">
        <v>0</v>
      </c>
      <c r="BQ305" s="38">
        <v>0</v>
      </c>
      <c r="BR305" s="37" t="s">
        <v>1860</v>
      </c>
      <c r="BS305" s="37" t="s">
        <v>1860</v>
      </c>
      <c r="BT305" s="37" t="s">
        <v>1860</v>
      </c>
      <c r="BU305" s="2"/>
      <c r="BV305" s="2"/>
    </row>
    <row r="306" spans="1:74" ht="15.75" x14ac:dyDescent="0.3">
      <c r="A306" s="2" t="s">
        <v>54</v>
      </c>
      <c r="B306" s="2" t="s">
        <v>55</v>
      </c>
      <c r="C306" s="2" t="s">
        <v>56</v>
      </c>
      <c r="D306" s="2" t="s">
        <v>674</v>
      </c>
      <c r="E306" s="2" t="s">
        <v>674</v>
      </c>
      <c r="F306" s="2" t="s">
        <v>675</v>
      </c>
      <c r="G306" s="2" t="s">
        <v>60</v>
      </c>
      <c r="H306" s="2" t="s">
        <v>61</v>
      </c>
      <c r="I306" s="2" t="s">
        <v>122</v>
      </c>
      <c r="J306" s="2" t="s">
        <v>740</v>
      </c>
      <c r="K306" s="2" t="s">
        <v>1704</v>
      </c>
      <c r="L306" s="2" t="s">
        <v>1705</v>
      </c>
      <c r="M306" s="2">
        <v>102</v>
      </c>
      <c r="N306" s="2" t="s">
        <v>1706</v>
      </c>
      <c r="O306" s="2" t="s">
        <v>1707</v>
      </c>
      <c r="P306" s="2" t="s">
        <v>80</v>
      </c>
      <c r="Q306" s="2" t="s">
        <v>69</v>
      </c>
      <c r="R306" s="2" t="s">
        <v>70</v>
      </c>
      <c r="S306" s="2" t="s">
        <v>1708</v>
      </c>
      <c r="T306" s="2" t="s">
        <v>1709</v>
      </c>
      <c r="U306" s="2" t="s">
        <v>1710</v>
      </c>
      <c r="V306" s="2" t="s">
        <v>1709</v>
      </c>
      <c r="W306" s="2" t="s">
        <v>74</v>
      </c>
      <c r="X306" s="38">
        <v>50</v>
      </c>
      <c r="Y306" s="38">
        <v>21</v>
      </c>
      <c r="Z306" s="38">
        <v>29</v>
      </c>
      <c r="AA306" s="38">
        <v>50</v>
      </c>
      <c r="AB306" s="38">
        <v>21</v>
      </c>
      <c r="AC306" s="38">
        <v>29</v>
      </c>
      <c r="AD306" s="38">
        <v>0</v>
      </c>
      <c r="AE306" s="38">
        <v>0</v>
      </c>
      <c r="AF306" s="38">
        <v>0</v>
      </c>
      <c r="AG306" s="38">
        <v>0</v>
      </c>
      <c r="AH306" s="38">
        <v>0</v>
      </c>
      <c r="AI306" s="38">
        <v>0</v>
      </c>
      <c r="AJ306" s="38">
        <v>0</v>
      </c>
      <c r="AK306" s="37">
        <v>0</v>
      </c>
      <c r="AL306" s="40">
        <f t="shared" si="16"/>
        <v>0</v>
      </c>
      <c r="AM306" s="37">
        <f t="shared" si="17"/>
        <v>0</v>
      </c>
      <c r="AN306" s="40">
        <f t="shared" si="18"/>
        <v>0</v>
      </c>
      <c r="AO306" s="37">
        <f t="shared" si="19"/>
        <v>0</v>
      </c>
      <c r="AP306" s="38">
        <v>71</v>
      </c>
      <c r="AQ306" s="38">
        <v>24</v>
      </c>
      <c r="AR306" s="38">
        <v>47</v>
      </c>
      <c r="AS306" s="38">
        <v>40</v>
      </c>
      <c r="AT306" s="38">
        <v>11</v>
      </c>
      <c r="AU306" s="38">
        <v>29</v>
      </c>
      <c r="AV306" s="38">
        <v>0</v>
      </c>
      <c r="AW306" s="38">
        <v>0</v>
      </c>
      <c r="AX306" s="38">
        <v>0</v>
      </c>
      <c r="AY306" s="38">
        <v>33</v>
      </c>
      <c r="AZ306" s="38">
        <v>7</v>
      </c>
      <c r="BA306" s="38">
        <v>26</v>
      </c>
      <c r="BB306" s="38">
        <v>2</v>
      </c>
      <c r="BC306" s="37">
        <v>6.0606060606060606</v>
      </c>
      <c r="BD306" s="40">
        <v>-6</v>
      </c>
      <c r="BE306" s="37">
        <v>-85.714285714285708</v>
      </c>
      <c r="BF306" s="40">
        <v>8</v>
      </c>
      <c r="BG306" s="37">
        <v>30.76923076923077</v>
      </c>
      <c r="BH306" s="38">
        <v>0</v>
      </c>
      <c r="BI306" s="38">
        <v>11</v>
      </c>
      <c r="BJ306" s="38">
        <v>3</v>
      </c>
      <c r="BK306" s="38">
        <v>8</v>
      </c>
      <c r="BL306" s="37">
        <v>0</v>
      </c>
      <c r="BM306" s="37">
        <v>0</v>
      </c>
      <c r="BN306" s="37">
        <v>0</v>
      </c>
      <c r="BO306" s="38">
        <v>19</v>
      </c>
      <c r="BP306" s="38">
        <v>8</v>
      </c>
      <c r="BQ306" s="38">
        <v>11</v>
      </c>
      <c r="BR306" s="37">
        <v>0</v>
      </c>
      <c r="BS306" s="37">
        <v>0</v>
      </c>
      <c r="BT306" s="37">
        <v>0</v>
      </c>
      <c r="BU306" s="2"/>
      <c r="BV306" s="2"/>
    </row>
    <row r="307" spans="1:74" ht="15.75" x14ac:dyDescent="0.3">
      <c r="A307" s="2" t="s">
        <v>54</v>
      </c>
      <c r="B307" s="2" t="s">
        <v>55</v>
      </c>
      <c r="C307" s="2" t="s">
        <v>105</v>
      </c>
      <c r="D307" s="2" t="s">
        <v>674</v>
      </c>
      <c r="E307" s="2" t="s">
        <v>674</v>
      </c>
      <c r="F307" s="2" t="s">
        <v>675</v>
      </c>
      <c r="G307" s="2" t="s">
        <v>60</v>
      </c>
      <c r="H307" s="2" t="s">
        <v>61</v>
      </c>
      <c r="I307" s="2" t="s">
        <v>157</v>
      </c>
      <c r="J307" s="2" t="s">
        <v>240</v>
      </c>
      <c r="K307" s="2" t="s">
        <v>1711</v>
      </c>
      <c r="L307" s="2" t="s">
        <v>1712</v>
      </c>
      <c r="M307" s="2">
        <v>0</v>
      </c>
      <c r="N307" s="2" t="s">
        <v>1713</v>
      </c>
      <c r="O307" s="2" t="s">
        <v>1714</v>
      </c>
      <c r="P307" s="2" t="s">
        <v>80</v>
      </c>
      <c r="Q307" s="2" t="s">
        <v>69</v>
      </c>
      <c r="R307" s="2" t="s">
        <v>70</v>
      </c>
      <c r="S307" s="2" t="s">
        <v>1715</v>
      </c>
      <c r="T307" s="2" t="s">
        <v>1716</v>
      </c>
      <c r="U307" s="2" t="s">
        <v>1717</v>
      </c>
      <c r="V307" s="2" t="s">
        <v>1716</v>
      </c>
      <c r="W307" s="2" t="s">
        <v>113</v>
      </c>
      <c r="X307" s="38">
        <v>13</v>
      </c>
      <c r="Y307" s="38">
        <v>10</v>
      </c>
      <c r="Z307" s="38">
        <v>3</v>
      </c>
      <c r="AA307" s="38">
        <v>13</v>
      </c>
      <c r="AB307" s="38">
        <v>10</v>
      </c>
      <c r="AC307" s="38">
        <v>3</v>
      </c>
      <c r="AD307" s="38">
        <v>0</v>
      </c>
      <c r="AE307" s="38">
        <v>0</v>
      </c>
      <c r="AF307" s="38">
        <v>0</v>
      </c>
      <c r="AG307" s="38">
        <v>0</v>
      </c>
      <c r="AH307" s="38">
        <v>0</v>
      </c>
      <c r="AI307" s="38">
        <v>0</v>
      </c>
      <c r="AJ307" s="38">
        <v>0</v>
      </c>
      <c r="AK307" s="37">
        <v>0</v>
      </c>
      <c r="AL307" s="40">
        <f t="shared" si="16"/>
        <v>0</v>
      </c>
      <c r="AM307" s="37">
        <f t="shared" si="17"/>
        <v>0</v>
      </c>
      <c r="AN307" s="40">
        <f t="shared" si="18"/>
        <v>0</v>
      </c>
      <c r="AO307" s="37">
        <f t="shared" si="19"/>
        <v>0</v>
      </c>
      <c r="AP307" s="38">
        <v>22</v>
      </c>
      <c r="AQ307" s="38">
        <v>12</v>
      </c>
      <c r="AR307" s="38">
        <v>10</v>
      </c>
      <c r="AS307" s="38">
        <v>11</v>
      </c>
      <c r="AT307" s="38">
        <v>4</v>
      </c>
      <c r="AU307" s="38">
        <v>7</v>
      </c>
      <c r="AV307" s="38">
        <v>13</v>
      </c>
      <c r="AW307" s="38">
        <v>10</v>
      </c>
      <c r="AX307" s="38">
        <v>3</v>
      </c>
      <c r="AY307" s="38">
        <v>15</v>
      </c>
      <c r="AZ307" s="38">
        <v>10</v>
      </c>
      <c r="BA307" s="38">
        <v>5</v>
      </c>
      <c r="BB307" s="38">
        <v>-9</v>
      </c>
      <c r="BC307" s="37">
        <v>-60</v>
      </c>
      <c r="BD307" s="40">
        <v>-8</v>
      </c>
      <c r="BE307" s="37">
        <v>-80</v>
      </c>
      <c r="BF307" s="40">
        <v>-1</v>
      </c>
      <c r="BG307" s="37">
        <v>-20</v>
      </c>
      <c r="BH307" s="38">
        <v>13</v>
      </c>
      <c r="BI307" s="38">
        <v>1</v>
      </c>
      <c r="BJ307" s="38">
        <v>1</v>
      </c>
      <c r="BK307" s="38">
        <v>0</v>
      </c>
      <c r="BL307" s="37">
        <v>1300</v>
      </c>
      <c r="BM307" s="37">
        <v>1000</v>
      </c>
      <c r="BN307" s="37" t="e">
        <v>#DIV/0!</v>
      </c>
      <c r="BO307" s="38">
        <v>0</v>
      </c>
      <c r="BP307" s="38">
        <v>0</v>
      </c>
      <c r="BQ307" s="38">
        <v>0</v>
      </c>
      <c r="BR307" s="37" t="s">
        <v>1860</v>
      </c>
      <c r="BS307" s="37" t="s">
        <v>1860</v>
      </c>
      <c r="BT307" s="37" t="s">
        <v>1860</v>
      </c>
      <c r="BU307" s="2"/>
      <c r="BV307" s="2"/>
    </row>
    <row r="308" spans="1:74" ht="15.75" x14ac:dyDescent="0.3">
      <c r="A308" s="2" t="s">
        <v>54</v>
      </c>
      <c r="B308" s="2" t="s">
        <v>55</v>
      </c>
      <c r="C308" s="2" t="s">
        <v>56</v>
      </c>
      <c r="D308" s="2" t="s">
        <v>674</v>
      </c>
      <c r="E308" s="2" t="s">
        <v>674</v>
      </c>
      <c r="F308" s="2" t="s">
        <v>739</v>
      </c>
      <c r="G308" s="2" t="s">
        <v>60</v>
      </c>
      <c r="H308" s="2" t="s">
        <v>61</v>
      </c>
      <c r="I308" s="2" t="s">
        <v>178</v>
      </c>
      <c r="J308" s="2" t="s">
        <v>178</v>
      </c>
      <c r="K308" s="2" t="s">
        <v>454</v>
      </c>
      <c r="L308" s="2" t="s">
        <v>1718</v>
      </c>
      <c r="M308" s="2">
        <v>0</v>
      </c>
      <c r="N308" s="2" t="s">
        <v>1719</v>
      </c>
      <c r="O308" s="2" t="s">
        <v>80</v>
      </c>
      <c r="P308" s="2" t="s">
        <v>80</v>
      </c>
      <c r="Q308" s="2" t="s">
        <v>90</v>
      </c>
      <c r="R308" s="2" t="s">
        <v>91</v>
      </c>
      <c r="S308" s="2" t="s">
        <v>1720</v>
      </c>
      <c r="T308" s="2" t="s">
        <v>1721</v>
      </c>
      <c r="U308" s="2" t="s">
        <v>1722</v>
      </c>
      <c r="V308" s="2" t="s">
        <v>1721</v>
      </c>
      <c r="W308" s="2" t="s">
        <v>74</v>
      </c>
      <c r="X308" s="38">
        <v>86</v>
      </c>
      <c r="Y308" s="38">
        <v>34</v>
      </c>
      <c r="Z308" s="38">
        <v>52</v>
      </c>
      <c r="AA308" s="38">
        <v>50</v>
      </c>
      <c r="AB308" s="38">
        <v>17</v>
      </c>
      <c r="AC308" s="38">
        <v>33</v>
      </c>
      <c r="AD308" s="38">
        <v>25</v>
      </c>
      <c r="AE308" s="38">
        <v>10</v>
      </c>
      <c r="AF308" s="38">
        <v>15</v>
      </c>
      <c r="AG308" s="38">
        <v>0</v>
      </c>
      <c r="AH308" s="38">
        <v>0</v>
      </c>
      <c r="AI308" s="38">
        <v>0</v>
      </c>
      <c r="AJ308" s="38">
        <v>11</v>
      </c>
      <c r="AK308" s="37">
        <v>12.790697674418606</v>
      </c>
      <c r="AL308" s="40">
        <f t="shared" si="16"/>
        <v>7</v>
      </c>
      <c r="AM308" s="37">
        <f t="shared" si="17"/>
        <v>20.588235294117645</v>
      </c>
      <c r="AN308" s="40">
        <f t="shared" si="18"/>
        <v>4</v>
      </c>
      <c r="AO308" s="37">
        <f t="shared" si="19"/>
        <v>7.6923076923076925</v>
      </c>
      <c r="AP308" s="38">
        <v>120</v>
      </c>
      <c r="AQ308" s="38">
        <v>49</v>
      </c>
      <c r="AR308" s="38">
        <v>71</v>
      </c>
      <c r="AS308" s="38">
        <v>67</v>
      </c>
      <c r="AT308" s="38">
        <v>28</v>
      </c>
      <c r="AU308" s="38">
        <v>39</v>
      </c>
      <c r="AV308" s="38">
        <v>21</v>
      </c>
      <c r="AW308" s="38">
        <v>4</v>
      </c>
      <c r="AX308" s="38">
        <v>17</v>
      </c>
      <c r="AY308" s="38">
        <v>100</v>
      </c>
      <c r="AZ308" s="38">
        <v>41</v>
      </c>
      <c r="BA308" s="38">
        <v>59</v>
      </c>
      <c r="BB308" s="38">
        <v>26</v>
      </c>
      <c r="BC308" s="37">
        <v>26</v>
      </c>
      <c r="BD308" s="40">
        <v>16</v>
      </c>
      <c r="BE308" s="37">
        <v>39.024390243902438</v>
      </c>
      <c r="BF308" s="40">
        <v>10</v>
      </c>
      <c r="BG308" s="37">
        <v>16.949152542372879</v>
      </c>
      <c r="BH308" s="38">
        <v>21</v>
      </c>
      <c r="BI308" s="38">
        <v>22</v>
      </c>
      <c r="BJ308" s="38">
        <v>5</v>
      </c>
      <c r="BK308" s="38">
        <v>17</v>
      </c>
      <c r="BL308" s="37">
        <v>95.454545454545453</v>
      </c>
      <c r="BM308" s="37">
        <v>80</v>
      </c>
      <c r="BN308" s="37">
        <v>100</v>
      </c>
      <c r="BO308" s="38">
        <v>0</v>
      </c>
      <c r="BP308" s="38">
        <v>0</v>
      </c>
      <c r="BQ308" s="38">
        <v>0</v>
      </c>
      <c r="BR308" s="37" t="s">
        <v>1860</v>
      </c>
      <c r="BS308" s="37" t="s">
        <v>1860</v>
      </c>
      <c r="BT308" s="37" t="s">
        <v>1860</v>
      </c>
      <c r="BU308" s="2"/>
      <c r="BV308" s="2"/>
    </row>
    <row r="309" spans="1:74" ht="15.75" x14ac:dyDescent="0.3">
      <c r="A309" s="2" t="s">
        <v>54</v>
      </c>
      <c r="B309" s="2" t="s">
        <v>55</v>
      </c>
      <c r="C309" s="2" t="s">
        <v>105</v>
      </c>
      <c r="D309" s="2" t="s">
        <v>674</v>
      </c>
      <c r="E309" s="2" t="s">
        <v>674</v>
      </c>
      <c r="F309" s="2" t="s">
        <v>739</v>
      </c>
      <c r="G309" s="2" t="s">
        <v>60</v>
      </c>
      <c r="H309" s="2" t="s">
        <v>61</v>
      </c>
      <c r="I309" s="2" t="s">
        <v>122</v>
      </c>
      <c r="J309" s="2" t="s">
        <v>740</v>
      </c>
      <c r="K309" s="2" t="s">
        <v>1723</v>
      </c>
      <c r="L309" s="2" t="s">
        <v>1724</v>
      </c>
      <c r="M309" s="2">
        <v>1</v>
      </c>
      <c r="N309" s="2" t="s">
        <v>1725</v>
      </c>
      <c r="O309" s="2" t="s">
        <v>1726</v>
      </c>
      <c r="P309" s="2" t="s">
        <v>80</v>
      </c>
      <c r="Q309" s="2" t="s">
        <v>69</v>
      </c>
      <c r="R309" s="2" t="s">
        <v>70</v>
      </c>
      <c r="S309" s="2" t="s">
        <v>1727</v>
      </c>
      <c r="T309" s="2" t="s">
        <v>1728</v>
      </c>
      <c r="U309" s="2" t="s">
        <v>1729</v>
      </c>
      <c r="V309" s="2" t="s">
        <v>1728</v>
      </c>
      <c r="W309" s="2" t="s">
        <v>74</v>
      </c>
      <c r="X309" s="38">
        <v>54</v>
      </c>
      <c r="Y309" s="38">
        <v>28</v>
      </c>
      <c r="Z309" s="38">
        <v>26</v>
      </c>
      <c r="AA309" s="38">
        <v>51</v>
      </c>
      <c r="AB309" s="38">
        <v>25</v>
      </c>
      <c r="AC309" s="38">
        <v>26</v>
      </c>
      <c r="AD309" s="38">
        <v>2</v>
      </c>
      <c r="AE309" s="38">
        <v>2</v>
      </c>
      <c r="AF309" s="38">
        <v>0</v>
      </c>
      <c r="AG309" s="38">
        <v>0</v>
      </c>
      <c r="AH309" s="38">
        <v>0</v>
      </c>
      <c r="AI309" s="38">
        <v>0</v>
      </c>
      <c r="AJ309" s="38">
        <v>1</v>
      </c>
      <c r="AK309" s="37">
        <v>1.8518518518518516</v>
      </c>
      <c r="AL309" s="40">
        <f t="shared" si="16"/>
        <v>1</v>
      </c>
      <c r="AM309" s="37">
        <f t="shared" si="17"/>
        <v>3.5714285714285712</v>
      </c>
      <c r="AN309" s="40">
        <f t="shared" si="18"/>
        <v>0</v>
      </c>
      <c r="AO309" s="37">
        <f t="shared" si="19"/>
        <v>0</v>
      </c>
      <c r="AP309" s="38">
        <v>45</v>
      </c>
      <c r="AQ309" s="38">
        <v>22</v>
      </c>
      <c r="AR309" s="38">
        <v>23</v>
      </c>
      <c r="AS309" s="38">
        <v>9</v>
      </c>
      <c r="AT309" s="38">
        <v>1</v>
      </c>
      <c r="AU309" s="38">
        <v>8</v>
      </c>
      <c r="AV309" s="38">
        <v>14</v>
      </c>
      <c r="AW309" s="38">
        <v>5</v>
      </c>
      <c r="AX309" s="38">
        <v>9</v>
      </c>
      <c r="AY309" s="38">
        <v>59</v>
      </c>
      <c r="AZ309" s="38">
        <v>29</v>
      </c>
      <c r="BA309" s="38">
        <v>30</v>
      </c>
      <c r="BB309" s="38">
        <v>9</v>
      </c>
      <c r="BC309" s="37">
        <v>15.254237288135593</v>
      </c>
      <c r="BD309" s="40">
        <v>3</v>
      </c>
      <c r="BE309" s="37">
        <v>10.344827586206897</v>
      </c>
      <c r="BF309" s="40">
        <v>6</v>
      </c>
      <c r="BG309" s="37">
        <v>20</v>
      </c>
      <c r="BH309" s="38">
        <v>14</v>
      </c>
      <c r="BI309" s="38">
        <v>15</v>
      </c>
      <c r="BJ309" s="38">
        <v>5</v>
      </c>
      <c r="BK309" s="38">
        <v>10</v>
      </c>
      <c r="BL309" s="37">
        <v>93.333333333333329</v>
      </c>
      <c r="BM309" s="37">
        <v>100</v>
      </c>
      <c r="BN309" s="37">
        <v>90</v>
      </c>
      <c r="BO309" s="38">
        <v>0</v>
      </c>
      <c r="BP309" s="38">
        <v>0</v>
      </c>
      <c r="BQ309" s="38">
        <v>0</v>
      </c>
      <c r="BR309" s="37" t="s">
        <v>1860</v>
      </c>
      <c r="BS309" s="37" t="s">
        <v>1860</v>
      </c>
      <c r="BT309" s="37" t="s">
        <v>1860</v>
      </c>
      <c r="BU309" s="2"/>
      <c r="BV309" s="2"/>
    </row>
    <row r="310" spans="1:74" ht="15.75" x14ac:dyDescent="0.3">
      <c r="A310" s="2" t="s">
        <v>54</v>
      </c>
      <c r="B310" s="2" t="s">
        <v>55</v>
      </c>
      <c r="C310" s="2" t="s">
        <v>56</v>
      </c>
      <c r="D310" s="2" t="s">
        <v>674</v>
      </c>
      <c r="E310" s="2" t="s">
        <v>674</v>
      </c>
      <c r="F310" s="2" t="s">
        <v>675</v>
      </c>
      <c r="G310" s="2" t="s">
        <v>60</v>
      </c>
      <c r="H310" s="2" t="s">
        <v>61</v>
      </c>
      <c r="I310" s="2" t="s">
        <v>140</v>
      </c>
      <c r="J310" s="2" t="s">
        <v>140</v>
      </c>
      <c r="K310" s="2" t="s">
        <v>76</v>
      </c>
      <c r="L310" s="2" t="s">
        <v>1044</v>
      </c>
      <c r="M310" s="2">
        <v>6</v>
      </c>
      <c r="N310" s="2" t="s">
        <v>1730</v>
      </c>
      <c r="O310" s="2" t="s">
        <v>1731</v>
      </c>
      <c r="P310" s="2" t="s">
        <v>80</v>
      </c>
      <c r="Q310" s="2" t="s">
        <v>144</v>
      </c>
      <c r="R310" s="2" t="s">
        <v>145</v>
      </c>
      <c r="S310" s="2" t="s">
        <v>1732</v>
      </c>
      <c r="T310" s="2" t="s">
        <v>1733</v>
      </c>
      <c r="U310" s="2" t="s">
        <v>1734</v>
      </c>
      <c r="V310" s="2" t="s">
        <v>1733</v>
      </c>
      <c r="W310" s="2" t="s">
        <v>113</v>
      </c>
      <c r="X310" s="38">
        <v>14</v>
      </c>
      <c r="Y310" s="38">
        <v>9</v>
      </c>
      <c r="Z310" s="38">
        <v>5</v>
      </c>
      <c r="AA310" s="38">
        <v>14</v>
      </c>
      <c r="AB310" s="38">
        <v>9</v>
      </c>
      <c r="AC310" s="38">
        <v>5</v>
      </c>
      <c r="AD310" s="38">
        <v>0</v>
      </c>
      <c r="AE310" s="38">
        <v>0</v>
      </c>
      <c r="AF310" s="38">
        <v>0</v>
      </c>
      <c r="AG310" s="38">
        <v>0</v>
      </c>
      <c r="AH310" s="38">
        <v>0</v>
      </c>
      <c r="AI310" s="38">
        <v>0</v>
      </c>
      <c r="AJ310" s="38">
        <v>0</v>
      </c>
      <c r="AK310" s="37">
        <v>0</v>
      </c>
      <c r="AL310" s="40">
        <f t="shared" si="16"/>
        <v>0</v>
      </c>
      <c r="AM310" s="37">
        <f t="shared" si="17"/>
        <v>0</v>
      </c>
      <c r="AN310" s="40">
        <f t="shared" si="18"/>
        <v>0</v>
      </c>
      <c r="AO310" s="37">
        <f t="shared" si="19"/>
        <v>0</v>
      </c>
      <c r="AP310" s="38">
        <v>27</v>
      </c>
      <c r="AQ310" s="38">
        <v>14</v>
      </c>
      <c r="AR310" s="38">
        <v>13</v>
      </c>
      <c r="AS310" s="38">
        <v>13</v>
      </c>
      <c r="AT310" s="38">
        <v>5</v>
      </c>
      <c r="AU310" s="38">
        <v>8</v>
      </c>
      <c r="AV310" s="38">
        <v>0</v>
      </c>
      <c r="AW310" s="38">
        <v>0</v>
      </c>
      <c r="AX310" s="38">
        <v>0</v>
      </c>
      <c r="AY310" s="38">
        <v>14</v>
      </c>
      <c r="AZ310" s="38">
        <v>9</v>
      </c>
      <c r="BA310" s="38">
        <v>5</v>
      </c>
      <c r="BB310" s="38">
        <v>0</v>
      </c>
      <c r="BC310" s="37">
        <v>0</v>
      </c>
      <c r="BD310" s="40">
        <v>0</v>
      </c>
      <c r="BE310" s="37">
        <v>0</v>
      </c>
      <c r="BF310" s="40">
        <v>0</v>
      </c>
      <c r="BG310" s="37">
        <v>0</v>
      </c>
      <c r="BH310" s="38">
        <v>0</v>
      </c>
      <c r="BI310" s="38">
        <v>0</v>
      </c>
      <c r="BJ310" s="38">
        <v>0</v>
      </c>
      <c r="BK310" s="38">
        <v>0</v>
      </c>
      <c r="BL310" s="42" t="s">
        <v>1860</v>
      </c>
      <c r="BM310" s="37" t="s">
        <v>1860</v>
      </c>
      <c r="BN310" s="37" t="s">
        <v>1860</v>
      </c>
      <c r="BO310" s="38">
        <v>0</v>
      </c>
      <c r="BP310" s="38">
        <v>0</v>
      </c>
      <c r="BQ310" s="38">
        <v>0</v>
      </c>
      <c r="BR310" s="37" t="s">
        <v>1860</v>
      </c>
      <c r="BS310" s="37" t="s">
        <v>1860</v>
      </c>
      <c r="BT310" s="37" t="s">
        <v>1860</v>
      </c>
      <c r="BU310" s="2"/>
      <c r="BV310" s="2"/>
    </row>
    <row r="311" spans="1:74" ht="15.75" x14ac:dyDescent="0.3">
      <c r="A311" s="2" t="s">
        <v>54</v>
      </c>
      <c r="B311" s="2" t="s">
        <v>55</v>
      </c>
      <c r="C311" s="2" t="s">
        <v>56</v>
      </c>
      <c r="D311" s="2" t="s">
        <v>674</v>
      </c>
      <c r="E311" s="2" t="s">
        <v>674</v>
      </c>
      <c r="F311" s="2" t="s">
        <v>739</v>
      </c>
      <c r="G311" s="2" t="s">
        <v>60</v>
      </c>
      <c r="H311" s="2" t="s">
        <v>61</v>
      </c>
      <c r="I311" s="2" t="s">
        <v>62</v>
      </c>
      <c r="J311" s="2" t="s">
        <v>1735</v>
      </c>
      <c r="K311" s="2" t="s">
        <v>76</v>
      </c>
      <c r="L311" s="2" t="s">
        <v>1736</v>
      </c>
      <c r="M311" s="2">
        <v>111</v>
      </c>
      <c r="N311" s="2" t="s">
        <v>1737</v>
      </c>
      <c r="O311" s="2" t="s">
        <v>1738</v>
      </c>
      <c r="P311" s="2" t="s">
        <v>80</v>
      </c>
      <c r="Q311" s="2" t="s">
        <v>69</v>
      </c>
      <c r="R311" s="2" t="s">
        <v>70</v>
      </c>
      <c r="S311" s="2" t="s">
        <v>1739</v>
      </c>
      <c r="T311" s="2" t="s">
        <v>1740</v>
      </c>
      <c r="U311" s="2" t="s">
        <v>1741</v>
      </c>
      <c r="V311" s="2" t="s">
        <v>1740</v>
      </c>
      <c r="W311" s="2" t="s">
        <v>74</v>
      </c>
      <c r="X311" s="38">
        <v>8</v>
      </c>
      <c r="Y311" s="38">
        <v>3</v>
      </c>
      <c r="Z311" s="38">
        <v>5</v>
      </c>
      <c r="AA311" s="38">
        <v>8</v>
      </c>
      <c r="AB311" s="38">
        <v>3</v>
      </c>
      <c r="AC311" s="38">
        <v>5</v>
      </c>
      <c r="AD311" s="38">
        <v>0</v>
      </c>
      <c r="AE311" s="38">
        <v>0</v>
      </c>
      <c r="AF311" s="38">
        <v>0</v>
      </c>
      <c r="AG311" s="38">
        <v>0</v>
      </c>
      <c r="AH311" s="38">
        <v>0</v>
      </c>
      <c r="AI311" s="38">
        <v>0</v>
      </c>
      <c r="AJ311" s="38">
        <v>0</v>
      </c>
      <c r="AK311" s="37">
        <v>0</v>
      </c>
      <c r="AL311" s="40">
        <f t="shared" si="16"/>
        <v>0</v>
      </c>
      <c r="AM311" s="37">
        <f t="shared" si="17"/>
        <v>0</v>
      </c>
      <c r="AN311" s="40">
        <f t="shared" si="18"/>
        <v>0</v>
      </c>
      <c r="AO311" s="37">
        <f t="shared" si="19"/>
        <v>0</v>
      </c>
      <c r="AP311" s="38">
        <v>6</v>
      </c>
      <c r="AQ311" s="38">
        <v>3</v>
      </c>
      <c r="AR311" s="38">
        <v>3</v>
      </c>
      <c r="AS311" s="38">
        <v>1</v>
      </c>
      <c r="AT311" s="38">
        <v>0</v>
      </c>
      <c r="AU311" s="38">
        <v>1</v>
      </c>
      <c r="AV311" s="38">
        <v>0</v>
      </c>
      <c r="AW311" s="38">
        <v>0</v>
      </c>
      <c r="AX311" s="38">
        <v>0</v>
      </c>
      <c r="AY311" s="38">
        <v>8</v>
      </c>
      <c r="AZ311" s="38">
        <v>3</v>
      </c>
      <c r="BA311" s="38">
        <v>5</v>
      </c>
      <c r="BB311" s="38">
        <v>3</v>
      </c>
      <c r="BC311" s="37">
        <v>37.5</v>
      </c>
      <c r="BD311" s="40">
        <v>0</v>
      </c>
      <c r="BE311" s="37">
        <v>0</v>
      </c>
      <c r="BF311" s="40">
        <v>3</v>
      </c>
      <c r="BG311" s="37">
        <v>60</v>
      </c>
      <c r="BH311" s="38">
        <v>0</v>
      </c>
      <c r="BI311" s="38">
        <v>4</v>
      </c>
      <c r="BJ311" s="38">
        <v>0</v>
      </c>
      <c r="BK311" s="38">
        <v>4</v>
      </c>
      <c r="BL311" s="37">
        <v>0</v>
      </c>
      <c r="BM311" s="37" t="s">
        <v>1860</v>
      </c>
      <c r="BN311" s="37">
        <v>0</v>
      </c>
      <c r="BO311" s="38">
        <v>0</v>
      </c>
      <c r="BP311" s="38">
        <v>0</v>
      </c>
      <c r="BQ311" s="38">
        <v>0</v>
      </c>
      <c r="BR311" s="37" t="s">
        <v>1860</v>
      </c>
      <c r="BS311" s="37" t="s">
        <v>1860</v>
      </c>
      <c r="BT311" s="37" t="s">
        <v>1860</v>
      </c>
      <c r="BU311" s="2"/>
      <c r="BV311" s="2"/>
    </row>
    <row r="312" spans="1:74" ht="15.75" x14ac:dyDescent="0.3">
      <c r="A312" s="2" t="s">
        <v>54</v>
      </c>
      <c r="B312" s="2" t="s">
        <v>55</v>
      </c>
      <c r="C312" s="2" t="s">
        <v>105</v>
      </c>
      <c r="D312" s="2" t="s">
        <v>674</v>
      </c>
      <c r="E312" s="2" t="s">
        <v>674</v>
      </c>
      <c r="F312" s="2" t="s">
        <v>675</v>
      </c>
      <c r="G312" s="2" t="s">
        <v>60</v>
      </c>
      <c r="H312" s="2" t="s">
        <v>61</v>
      </c>
      <c r="I312" s="2" t="s">
        <v>157</v>
      </c>
      <c r="J312" s="2" t="s">
        <v>1742</v>
      </c>
      <c r="K312" s="2" t="s">
        <v>76</v>
      </c>
      <c r="L312" s="2" t="s">
        <v>1743</v>
      </c>
      <c r="M312" s="2">
        <v>5150</v>
      </c>
      <c r="N312" s="2" t="s">
        <v>1744</v>
      </c>
      <c r="O312" s="2" t="s">
        <v>1745</v>
      </c>
      <c r="P312" s="2" t="s">
        <v>80</v>
      </c>
      <c r="Q312" s="2" t="s">
        <v>69</v>
      </c>
      <c r="R312" s="2" t="s">
        <v>70</v>
      </c>
      <c r="S312" s="2" t="s">
        <v>1746</v>
      </c>
      <c r="T312" s="2" t="s">
        <v>1747</v>
      </c>
      <c r="U312" s="2" t="s">
        <v>1748</v>
      </c>
      <c r="V312" s="2" t="s">
        <v>1747</v>
      </c>
      <c r="W312" s="2" t="s">
        <v>74</v>
      </c>
      <c r="X312" s="38">
        <v>26</v>
      </c>
      <c r="Y312" s="38">
        <v>15</v>
      </c>
      <c r="Z312" s="38">
        <v>11</v>
      </c>
      <c r="AA312" s="38">
        <v>16</v>
      </c>
      <c r="AB312" s="38">
        <v>9</v>
      </c>
      <c r="AC312" s="38">
        <v>7</v>
      </c>
      <c r="AD312" s="38">
        <v>5</v>
      </c>
      <c r="AE312" s="38">
        <v>4</v>
      </c>
      <c r="AF312" s="38">
        <v>1</v>
      </c>
      <c r="AG312" s="38">
        <v>0</v>
      </c>
      <c r="AH312" s="38">
        <v>0</v>
      </c>
      <c r="AI312" s="38">
        <v>0</v>
      </c>
      <c r="AJ312" s="38">
        <v>5</v>
      </c>
      <c r="AK312" s="37">
        <v>19.230769230769234</v>
      </c>
      <c r="AL312" s="40">
        <f t="shared" si="16"/>
        <v>2</v>
      </c>
      <c r="AM312" s="37">
        <f t="shared" si="17"/>
        <v>13.333333333333334</v>
      </c>
      <c r="AN312" s="40">
        <f t="shared" si="18"/>
        <v>3</v>
      </c>
      <c r="AO312" s="37">
        <f t="shared" si="19"/>
        <v>27.27272727272727</v>
      </c>
      <c r="AP312" s="38">
        <v>53</v>
      </c>
      <c r="AQ312" s="38">
        <v>27</v>
      </c>
      <c r="AR312" s="38">
        <v>26</v>
      </c>
      <c r="AS312" s="38">
        <v>25</v>
      </c>
      <c r="AT312" s="38">
        <v>11</v>
      </c>
      <c r="AU312" s="38">
        <v>14</v>
      </c>
      <c r="AV312" s="38">
        <v>0</v>
      </c>
      <c r="AW312" s="38">
        <v>0</v>
      </c>
      <c r="AX312" s="38">
        <v>0</v>
      </c>
      <c r="AY312" s="38">
        <v>42</v>
      </c>
      <c r="AZ312" s="38">
        <v>22</v>
      </c>
      <c r="BA312" s="38">
        <v>20</v>
      </c>
      <c r="BB312" s="38">
        <v>14</v>
      </c>
      <c r="BC312" s="37">
        <v>33.333333333333329</v>
      </c>
      <c r="BD312" s="40">
        <v>6</v>
      </c>
      <c r="BE312" s="37">
        <v>27.27272727272727</v>
      </c>
      <c r="BF312" s="40">
        <v>8</v>
      </c>
      <c r="BG312" s="37">
        <v>40</v>
      </c>
      <c r="BH312" s="38">
        <v>0</v>
      </c>
      <c r="BI312" s="38">
        <v>0</v>
      </c>
      <c r="BJ312" s="38">
        <v>0</v>
      </c>
      <c r="BK312" s="38">
        <v>0</v>
      </c>
      <c r="BL312" s="42" t="s">
        <v>1860</v>
      </c>
      <c r="BM312" s="37" t="s">
        <v>1860</v>
      </c>
      <c r="BN312" s="37" t="s">
        <v>1860</v>
      </c>
      <c r="BO312" s="38">
        <v>0</v>
      </c>
      <c r="BP312" s="38">
        <v>0</v>
      </c>
      <c r="BQ312" s="38">
        <v>0</v>
      </c>
      <c r="BR312" s="37" t="s">
        <v>1860</v>
      </c>
      <c r="BS312" s="37" t="s">
        <v>1860</v>
      </c>
      <c r="BT312" s="37" t="s">
        <v>1860</v>
      </c>
      <c r="BU312" s="2"/>
      <c r="BV312" s="2"/>
    </row>
    <row r="313" spans="1:74" ht="15.75" x14ac:dyDescent="0.3">
      <c r="A313" s="2" t="s">
        <v>54</v>
      </c>
      <c r="B313" s="2" t="s">
        <v>55</v>
      </c>
      <c r="C313" s="2" t="s">
        <v>105</v>
      </c>
      <c r="D313" s="2" t="s">
        <v>674</v>
      </c>
      <c r="E313" s="2" t="s">
        <v>674</v>
      </c>
      <c r="F313" s="2" t="s">
        <v>675</v>
      </c>
      <c r="G313" s="2" t="s">
        <v>60</v>
      </c>
      <c r="H313" s="2" t="s">
        <v>61</v>
      </c>
      <c r="I313" s="2" t="s">
        <v>62</v>
      </c>
      <c r="J313" s="2" t="s">
        <v>63</v>
      </c>
      <c r="K313" s="2" t="s">
        <v>943</v>
      </c>
      <c r="L313" s="2" t="s">
        <v>1750</v>
      </c>
      <c r="M313" s="2">
        <v>2</v>
      </c>
      <c r="N313" s="2" t="s">
        <v>1751</v>
      </c>
      <c r="O313" s="2" t="s">
        <v>1752</v>
      </c>
      <c r="P313" s="2" t="s">
        <v>193</v>
      </c>
      <c r="Q313" s="2" t="s">
        <v>69</v>
      </c>
      <c r="R313" s="2" t="s">
        <v>70</v>
      </c>
      <c r="S313" s="2" t="s">
        <v>1753</v>
      </c>
      <c r="T313" s="2" t="s">
        <v>1754</v>
      </c>
      <c r="U313" s="2" t="s">
        <v>1755</v>
      </c>
      <c r="V313" s="2" t="s">
        <v>1754</v>
      </c>
      <c r="W313" s="2" t="s">
        <v>74</v>
      </c>
      <c r="X313" s="38">
        <v>20</v>
      </c>
      <c r="Y313" s="38">
        <v>9</v>
      </c>
      <c r="Z313" s="38">
        <v>11</v>
      </c>
      <c r="AA313" s="38">
        <v>20</v>
      </c>
      <c r="AB313" s="38">
        <v>9</v>
      </c>
      <c r="AC313" s="38">
        <v>11</v>
      </c>
      <c r="AD313" s="38">
        <v>0</v>
      </c>
      <c r="AE313" s="38">
        <v>0</v>
      </c>
      <c r="AF313" s="38">
        <v>0</v>
      </c>
      <c r="AG313" s="38">
        <v>0</v>
      </c>
      <c r="AH313" s="38">
        <v>0</v>
      </c>
      <c r="AI313" s="38">
        <v>0</v>
      </c>
      <c r="AJ313" s="38">
        <v>0</v>
      </c>
      <c r="AK313" s="37">
        <v>0</v>
      </c>
      <c r="AL313" s="40">
        <f t="shared" si="16"/>
        <v>0</v>
      </c>
      <c r="AM313" s="37">
        <f t="shared" si="17"/>
        <v>0</v>
      </c>
      <c r="AN313" s="40">
        <f t="shared" si="18"/>
        <v>0</v>
      </c>
      <c r="AO313" s="37">
        <f t="shared" si="19"/>
        <v>0</v>
      </c>
      <c r="AP313" s="38">
        <v>10</v>
      </c>
      <c r="AQ313" s="38">
        <v>3</v>
      </c>
      <c r="AR313" s="38">
        <v>7</v>
      </c>
      <c r="AS313" s="38">
        <v>1</v>
      </c>
      <c r="AT313" s="38">
        <v>1</v>
      </c>
      <c r="AU313" s="38">
        <v>0</v>
      </c>
      <c r="AV313" s="38">
        <v>11</v>
      </c>
      <c r="AW313" s="38">
        <v>7</v>
      </c>
      <c r="AX313" s="38">
        <v>4</v>
      </c>
      <c r="AY313" s="38">
        <v>27</v>
      </c>
      <c r="AZ313" s="38">
        <v>11</v>
      </c>
      <c r="BA313" s="38">
        <v>16</v>
      </c>
      <c r="BB313" s="38">
        <v>7</v>
      </c>
      <c r="BC313" s="37">
        <v>25.925925925925924</v>
      </c>
      <c r="BD313" s="40">
        <v>2</v>
      </c>
      <c r="BE313" s="37">
        <v>18.181818181818183</v>
      </c>
      <c r="BF313" s="40">
        <v>5</v>
      </c>
      <c r="BG313" s="37">
        <v>31.25</v>
      </c>
      <c r="BH313" s="38">
        <v>11</v>
      </c>
      <c r="BI313" s="38">
        <v>16</v>
      </c>
      <c r="BJ313" s="38">
        <v>9</v>
      </c>
      <c r="BK313" s="38">
        <v>7</v>
      </c>
      <c r="BL313" s="37">
        <v>68.75</v>
      </c>
      <c r="BM313" s="37">
        <v>77.777777777777786</v>
      </c>
      <c r="BN313" s="37">
        <v>57.142857142857139</v>
      </c>
      <c r="BO313" s="38">
        <v>10</v>
      </c>
      <c r="BP313" s="38">
        <v>6</v>
      </c>
      <c r="BQ313" s="38">
        <v>4</v>
      </c>
      <c r="BR313" s="37">
        <v>110.00000000000001</v>
      </c>
      <c r="BS313" s="37">
        <v>116.66666666666667</v>
      </c>
      <c r="BT313" s="37">
        <v>100</v>
      </c>
      <c r="BU313" s="2"/>
      <c r="BV313" s="2"/>
    </row>
    <row r="314" spans="1:74" ht="15.75" x14ac:dyDescent="0.3">
      <c r="A314" s="2" t="s">
        <v>54</v>
      </c>
      <c r="B314" s="2" t="s">
        <v>55</v>
      </c>
      <c r="C314" s="2" t="s">
        <v>56</v>
      </c>
      <c r="D314" s="2" t="s">
        <v>57</v>
      </c>
      <c r="E314" s="2" t="s">
        <v>1331</v>
      </c>
      <c r="F314" s="2" t="s">
        <v>1332</v>
      </c>
      <c r="G314" s="2" t="s">
        <v>60</v>
      </c>
      <c r="H314" s="2" t="s">
        <v>61</v>
      </c>
      <c r="I314" s="2" t="s">
        <v>62</v>
      </c>
      <c r="J314" s="2" t="s">
        <v>63</v>
      </c>
      <c r="K314" s="2" t="s">
        <v>159</v>
      </c>
      <c r="L314" s="2" t="s">
        <v>269</v>
      </c>
      <c r="M314" s="2">
        <v>63</v>
      </c>
      <c r="N314" s="2" t="s">
        <v>1335</v>
      </c>
      <c r="O314" s="2" t="s">
        <v>1336</v>
      </c>
      <c r="P314" s="2" t="s">
        <v>1756</v>
      </c>
      <c r="Q314" s="2" t="s">
        <v>69</v>
      </c>
      <c r="R314" s="2" t="s">
        <v>70</v>
      </c>
      <c r="S314" s="2" t="s">
        <v>1363</v>
      </c>
      <c r="T314" s="2" t="s">
        <v>1364</v>
      </c>
      <c r="U314" s="2" t="s">
        <v>1757</v>
      </c>
      <c r="V314" s="2" t="s">
        <v>1758</v>
      </c>
      <c r="W314" s="2" t="s">
        <v>74</v>
      </c>
      <c r="X314" s="38">
        <v>492</v>
      </c>
      <c r="Y314" s="38">
        <v>216</v>
      </c>
      <c r="Z314" s="38">
        <v>276</v>
      </c>
      <c r="AA314" s="38">
        <v>331</v>
      </c>
      <c r="AB314" s="38">
        <v>125</v>
      </c>
      <c r="AC314" s="38">
        <v>206</v>
      </c>
      <c r="AD314" s="38">
        <v>51</v>
      </c>
      <c r="AE314" s="38">
        <v>23</v>
      </c>
      <c r="AF314" s="38">
        <v>28</v>
      </c>
      <c r="AG314" s="38">
        <v>0</v>
      </c>
      <c r="AH314" s="38">
        <v>0</v>
      </c>
      <c r="AI314" s="38">
        <v>0</v>
      </c>
      <c r="AJ314" s="38">
        <v>110</v>
      </c>
      <c r="AK314" s="37">
        <v>22.35772357723577</v>
      </c>
      <c r="AL314" s="40">
        <f t="shared" si="16"/>
        <v>68</v>
      </c>
      <c r="AM314" s="37">
        <f t="shared" si="17"/>
        <v>31.481481481481481</v>
      </c>
      <c r="AN314" s="40">
        <f t="shared" si="18"/>
        <v>42</v>
      </c>
      <c r="AO314" s="37">
        <f t="shared" si="19"/>
        <v>15.217391304347828</v>
      </c>
      <c r="AP314" s="38">
        <v>340</v>
      </c>
      <c r="AQ314" s="38">
        <v>152</v>
      </c>
      <c r="AR314" s="38">
        <v>188</v>
      </c>
      <c r="AS314" s="38">
        <v>29</v>
      </c>
      <c r="AT314" s="38">
        <v>18</v>
      </c>
      <c r="AU314" s="38">
        <v>11</v>
      </c>
      <c r="AV314" s="38">
        <v>90</v>
      </c>
      <c r="AW314" s="38">
        <v>27</v>
      </c>
      <c r="AX314" s="38">
        <v>63</v>
      </c>
      <c r="AY314" s="38">
        <v>492</v>
      </c>
      <c r="AZ314" s="38">
        <v>216</v>
      </c>
      <c r="BA314" s="38">
        <v>276</v>
      </c>
      <c r="BB314" s="38">
        <v>91</v>
      </c>
      <c r="BC314" s="37">
        <v>18.495934959349594</v>
      </c>
      <c r="BD314" s="40">
        <v>55</v>
      </c>
      <c r="BE314" s="37">
        <v>25.462962962962965</v>
      </c>
      <c r="BF314" s="40">
        <v>36</v>
      </c>
      <c r="BG314" s="37">
        <v>13.043478260869565</v>
      </c>
      <c r="BH314" s="38">
        <v>90</v>
      </c>
      <c r="BI314" s="38">
        <v>105</v>
      </c>
      <c r="BJ314" s="38">
        <v>37</v>
      </c>
      <c r="BK314" s="38">
        <v>68</v>
      </c>
      <c r="BL314" s="37">
        <v>85.714285714285708</v>
      </c>
      <c r="BM314" s="37">
        <v>72.972972972972968</v>
      </c>
      <c r="BN314" s="37">
        <v>92.64705882352942</v>
      </c>
      <c r="BO314" s="38">
        <v>125</v>
      </c>
      <c r="BP314" s="38">
        <v>53</v>
      </c>
      <c r="BQ314" s="38">
        <v>72</v>
      </c>
      <c r="BR314" s="37">
        <v>72</v>
      </c>
      <c r="BS314" s="37">
        <v>50.943396226415096</v>
      </c>
      <c r="BT314" s="37">
        <v>87.5</v>
      </c>
      <c r="BU314" s="2"/>
      <c r="BV314" s="2"/>
    </row>
    <row r="315" spans="1:74" ht="15.75" x14ac:dyDescent="0.3">
      <c r="A315" s="2" t="s">
        <v>54</v>
      </c>
      <c r="B315" s="2" t="s">
        <v>1393</v>
      </c>
      <c r="C315" s="2" t="s">
        <v>1856</v>
      </c>
      <c r="D315" s="2" t="s">
        <v>57</v>
      </c>
      <c r="E315" s="2" t="s">
        <v>58</v>
      </c>
      <c r="F315" s="2" t="s">
        <v>59</v>
      </c>
      <c r="G315" s="2" t="s">
        <v>60</v>
      </c>
      <c r="H315" s="2" t="s">
        <v>61</v>
      </c>
      <c r="I315" s="2" t="s">
        <v>85</v>
      </c>
      <c r="J315" s="2" t="s">
        <v>85</v>
      </c>
      <c r="K315" s="2" t="s">
        <v>86</v>
      </c>
      <c r="L315" s="2" t="s">
        <v>1420</v>
      </c>
      <c r="M315" s="2">
        <v>7</v>
      </c>
      <c r="N315" s="2" t="s">
        <v>1421</v>
      </c>
      <c r="O315" s="2" t="s">
        <v>1422</v>
      </c>
      <c r="P315" s="2" t="s">
        <v>80</v>
      </c>
      <c r="Q315" s="2" t="s">
        <v>90</v>
      </c>
      <c r="R315" s="2" t="s">
        <v>91</v>
      </c>
      <c r="S315" s="2" t="s">
        <v>1423</v>
      </c>
      <c r="T315" s="2" t="s">
        <v>1424</v>
      </c>
      <c r="U315" s="2" t="s">
        <v>1425</v>
      </c>
      <c r="V315" s="2" t="s">
        <v>1424</v>
      </c>
      <c r="W315" s="2" t="s">
        <v>113</v>
      </c>
      <c r="X315" s="38">
        <v>442</v>
      </c>
      <c r="Y315" s="38">
        <v>224</v>
      </c>
      <c r="Z315" s="38">
        <v>218</v>
      </c>
      <c r="AA315" s="38">
        <v>264</v>
      </c>
      <c r="AB315" s="38">
        <v>114</v>
      </c>
      <c r="AC315" s="38">
        <v>150</v>
      </c>
      <c r="AD315" s="38">
        <v>47</v>
      </c>
      <c r="AE315" s="38">
        <v>27</v>
      </c>
      <c r="AF315" s="38">
        <v>20</v>
      </c>
      <c r="AG315" s="38">
        <v>0</v>
      </c>
      <c r="AH315" s="38">
        <v>0</v>
      </c>
      <c r="AI315" s="38">
        <v>0</v>
      </c>
      <c r="AJ315" s="38">
        <v>131</v>
      </c>
      <c r="AK315" s="37">
        <v>29.638009049773757</v>
      </c>
      <c r="AL315" s="40">
        <f t="shared" si="16"/>
        <v>83</v>
      </c>
      <c r="AM315" s="37">
        <f t="shared" si="17"/>
        <v>37.053571428571431</v>
      </c>
      <c r="AN315" s="40">
        <f t="shared" si="18"/>
        <v>48</v>
      </c>
      <c r="AO315" s="37">
        <f t="shared" si="19"/>
        <v>22.018348623853214</v>
      </c>
      <c r="AP315" s="38">
        <v>713</v>
      </c>
      <c r="AQ315" s="38">
        <v>347</v>
      </c>
      <c r="AR315" s="38">
        <v>366</v>
      </c>
      <c r="AS315" s="38">
        <v>310</v>
      </c>
      <c r="AT315" s="38">
        <v>154</v>
      </c>
      <c r="AU315" s="38">
        <v>156</v>
      </c>
      <c r="AV315" s="38">
        <v>0</v>
      </c>
      <c r="AW315" s="38">
        <v>0</v>
      </c>
      <c r="AX315" s="38">
        <v>0</v>
      </c>
      <c r="AY315" s="38">
        <v>474</v>
      </c>
      <c r="AZ315" s="38">
        <v>239</v>
      </c>
      <c r="BA315" s="38">
        <v>235</v>
      </c>
      <c r="BB315" s="38">
        <v>71</v>
      </c>
      <c r="BC315" s="37">
        <v>14.978902953586498</v>
      </c>
      <c r="BD315" s="40">
        <v>46</v>
      </c>
      <c r="BE315" s="37">
        <v>19.246861924686193</v>
      </c>
      <c r="BF315" s="40">
        <v>25</v>
      </c>
      <c r="BG315" s="37">
        <v>10.638297872340425</v>
      </c>
      <c r="BH315" s="38">
        <v>0</v>
      </c>
      <c r="BI315" s="38">
        <v>0</v>
      </c>
      <c r="BJ315" s="38">
        <v>0</v>
      </c>
      <c r="BK315" s="38">
        <v>0</v>
      </c>
      <c r="BL315" s="42" t="s">
        <v>1860</v>
      </c>
      <c r="BM315" s="37" t="s">
        <v>1860</v>
      </c>
      <c r="BN315" s="37" t="s">
        <v>1860</v>
      </c>
      <c r="BO315" s="38">
        <v>0</v>
      </c>
      <c r="BP315" s="38">
        <v>0</v>
      </c>
      <c r="BQ315" s="38">
        <v>0</v>
      </c>
      <c r="BR315" s="37" t="s">
        <v>1860</v>
      </c>
      <c r="BS315" s="37" t="s">
        <v>1860</v>
      </c>
      <c r="BT315" s="37" t="s">
        <v>1860</v>
      </c>
      <c r="BU315" s="2"/>
      <c r="BV315" s="2"/>
    </row>
    <row r="316" spans="1:74" ht="15.75" x14ac:dyDescent="0.3">
      <c r="A316" s="2" t="s">
        <v>54</v>
      </c>
      <c r="B316" s="2" t="s">
        <v>55</v>
      </c>
      <c r="C316" s="2" t="s">
        <v>56</v>
      </c>
      <c r="D316" s="2" t="s">
        <v>57</v>
      </c>
      <c r="E316" s="2" t="s">
        <v>58</v>
      </c>
      <c r="F316" s="2" t="s">
        <v>59</v>
      </c>
      <c r="G316" s="2" t="s">
        <v>60</v>
      </c>
      <c r="H316" s="2" t="s">
        <v>61</v>
      </c>
      <c r="I316" s="2" t="s">
        <v>178</v>
      </c>
      <c r="J316" s="2" t="s">
        <v>178</v>
      </c>
      <c r="K316" s="2" t="s">
        <v>1759</v>
      </c>
      <c r="L316" s="2" t="s">
        <v>785</v>
      </c>
      <c r="M316" s="2">
        <v>130</v>
      </c>
      <c r="N316" s="2" t="s">
        <v>1760</v>
      </c>
      <c r="O316" s="2" t="s">
        <v>1761</v>
      </c>
      <c r="P316" s="2" t="s">
        <v>80</v>
      </c>
      <c r="Q316" s="2" t="s">
        <v>90</v>
      </c>
      <c r="R316" s="2" t="s">
        <v>91</v>
      </c>
      <c r="S316" s="2" t="s">
        <v>1762</v>
      </c>
      <c r="T316" s="2" t="s">
        <v>1763</v>
      </c>
      <c r="U316" s="31" t="s">
        <v>1764</v>
      </c>
      <c r="V316" s="2" t="s">
        <v>1763</v>
      </c>
      <c r="W316" s="2" t="s">
        <v>84</v>
      </c>
      <c r="X316" s="38">
        <v>79</v>
      </c>
      <c r="Y316" s="38">
        <v>52</v>
      </c>
      <c r="Z316" s="38">
        <v>27</v>
      </c>
      <c r="AA316" s="38">
        <v>0</v>
      </c>
      <c r="AB316" s="38">
        <v>0</v>
      </c>
      <c r="AC316" s="38">
        <v>0</v>
      </c>
      <c r="AD316" s="38">
        <v>0</v>
      </c>
      <c r="AE316" s="38">
        <v>0</v>
      </c>
      <c r="AF316" s="38">
        <v>0</v>
      </c>
      <c r="AG316" s="38">
        <v>0</v>
      </c>
      <c r="AH316" s="38">
        <v>0</v>
      </c>
      <c r="AI316" s="38">
        <v>0</v>
      </c>
      <c r="AJ316" s="41">
        <v>0</v>
      </c>
      <c r="AK316" s="42">
        <v>0</v>
      </c>
      <c r="AL316" s="41">
        <v>0</v>
      </c>
      <c r="AM316" s="42">
        <v>0</v>
      </c>
      <c r="AN316" s="41">
        <v>0</v>
      </c>
      <c r="AO316" s="42">
        <v>0</v>
      </c>
      <c r="AP316" s="38">
        <v>20</v>
      </c>
      <c r="AQ316" s="38">
        <v>12</v>
      </c>
      <c r="AR316" s="38">
        <v>8</v>
      </c>
      <c r="AS316" s="38">
        <v>0</v>
      </c>
      <c r="AT316" s="38">
        <v>0</v>
      </c>
      <c r="AU316" s="38">
        <v>0</v>
      </c>
      <c r="AV316" s="38">
        <v>0</v>
      </c>
      <c r="AW316" s="38">
        <v>0</v>
      </c>
      <c r="AX316" s="38">
        <v>0</v>
      </c>
      <c r="AY316" s="38">
        <v>4</v>
      </c>
      <c r="AZ316" s="38">
        <v>2</v>
      </c>
      <c r="BA316" s="38">
        <v>2</v>
      </c>
      <c r="BB316" s="38">
        <v>-16</v>
      </c>
      <c r="BC316" s="37">
        <v>-400</v>
      </c>
      <c r="BD316" s="40">
        <v>-10</v>
      </c>
      <c r="BE316" s="37">
        <v>-500</v>
      </c>
      <c r="BF316" s="40">
        <v>-6</v>
      </c>
      <c r="BG316" s="37">
        <v>-300</v>
      </c>
      <c r="BH316" s="38">
        <v>0</v>
      </c>
      <c r="BI316" s="38">
        <v>0</v>
      </c>
      <c r="BJ316" s="38">
        <v>0</v>
      </c>
      <c r="BK316" s="38">
        <v>0</v>
      </c>
      <c r="BL316" s="42" t="s">
        <v>1860</v>
      </c>
      <c r="BM316" s="37" t="s">
        <v>1860</v>
      </c>
      <c r="BN316" s="37" t="s">
        <v>1860</v>
      </c>
      <c r="BO316" s="38">
        <v>0</v>
      </c>
      <c r="BP316" s="38">
        <v>0</v>
      </c>
      <c r="BQ316" s="38">
        <v>0</v>
      </c>
      <c r="BR316" s="37" t="s">
        <v>1860</v>
      </c>
      <c r="BS316" s="37" t="s">
        <v>1860</v>
      </c>
      <c r="BT316" s="37" t="s">
        <v>1860</v>
      </c>
      <c r="BU316" s="2"/>
      <c r="BV316" s="2"/>
    </row>
    <row r="317" spans="1:74" ht="15.75" x14ac:dyDescent="0.3">
      <c r="A317" s="2" t="s">
        <v>54</v>
      </c>
      <c r="B317" s="2" t="s">
        <v>55</v>
      </c>
      <c r="C317" s="2" t="s">
        <v>56</v>
      </c>
      <c r="D317" s="2" t="s">
        <v>57</v>
      </c>
      <c r="E317" s="2" t="s">
        <v>58</v>
      </c>
      <c r="F317" s="2" t="s">
        <v>59</v>
      </c>
      <c r="G317" s="2" t="s">
        <v>60</v>
      </c>
      <c r="H317" s="2" t="s">
        <v>61</v>
      </c>
      <c r="I317" s="2" t="s">
        <v>62</v>
      </c>
      <c r="J317" s="2" t="s">
        <v>63</v>
      </c>
      <c r="K317" s="2" t="s">
        <v>1765</v>
      </c>
      <c r="L317" s="2" t="s">
        <v>1749</v>
      </c>
      <c r="M317" s="2">
        <v>0</v>
      </c>
      <c r="N317" s="2" t="s">
        <v>1766</v>
      </c>
      <c r="O317" s="2" t="s">
        <v>1767</v>
      </c>
      <c r="P317" s="2" t="s">
        <v>80</v>
      </c>
      <c r="Q317" s="2" t="s">
        <v>69</v>
      </c>
      <c r="R317" s="2" t="s">
        <v>70</v>
      </c>
      <c r="S317" s="2" t="s">
        <v>1768</v>
      </c>
      <c r="T317" s="2" t="s">
        <v>1769</v>
      </c>
      <c r="U317" s="31" t="s">
        <v>1770</v>
      </c>
      <c r="V317" s="2" t="s">
        <v>1769</v>
      </c>
      <c r="W317" s="2" t="s">
        <v>84</v>
      </c>
      <c r="X317" s="38">
        <v>9</v>
      </c>
      <c r="Y317" s="38">
        <v>8</v>
      </c>
      <c r="Z317" s="38">
        <v>1</v>
      </c>
      <c r="AA317" s="38">
        <v>0</v>
      </c>
      <c r="AB317" s="38">
        <v>0</v>
      </c>
      <c r="AC317" s="38">
        <v>0</v>
      </c>
      <c r="AD317" s="38">
        <v>0</v>
      </c>
      <c r="AE317" s="38">
        <v>0</v>
      </c>
      <c r="AF317" s="38">
        <v>0</v>
      </c>
      <c r="AG317" s="38">
        <v>0</v>
      </c>
      <c r="AH317" s="38">
        <v>0</v>
      </c>
      <c r="AI317" s="38">
        <v>0</v>
      </c>
      <c r="AJ317" s="41">
        <v>0</v>
      </c>
      <c r="AK317" s="42">
        <v>0</v>
      </c>
      <c r="AL317" s="41">
        <v>0</v>
      </c>
      <c r="AM317" s="42">
        <v>0</v>
      </c>
      <c r="AN317" s="41">
        <v>0</v>
      </c>
      <c r="AO317" s="42">
        <v>0</v>
      </c>
      <c r="AP317" s="38">
        <v>24</v>
      </c>
      <c r="AQ317" s="38">
        <v>19</v>
      </c>
      <c r="AR317" s="38">
        <v>5</v>
      </c>
      <c r="AS317" s="38">
        <v>0</v>
      </c>
      <c r="AT317" s="38">
        <v>0</v>
      </c>
      <c r="AU317" s="38">
        <v>0</v>
      </c>
      <c r="AV317" s="38">
        <v>9</v>
      </c>
      <c r="AW317" s="38">
        <v>8</v>
      </c>
      <c r="AX317" s="38">
        <v>1</v>
      </c>
      <c r="AY317" s="38">
        <v>9</v>
      </c>
      <c r="AZ317" s="38">
        <v>7</v>
      </c>
      <c r="BA317" s="38">
        <v>2</v>
      </c>
      <c r="BB317" s="38">
        <v>-24</v>
      </c>
      <c r="BC317" s="37">
        <v>-266.66666666666663</v>
      </c>
      <c r="BD317" s="40">
        <v>-20</v>
      </c>
      <c r="BE317" s="37">
        <v>-285.71428571428572</v>
      </c>
      <c r="BF317" s="40">
        <v>-4</v>
      </c>
      <c r="BG317" s="37">
        <v>-200</v>
      </c>
      <c r="BH317" s="38">
        <v>9</v>
      </c>
      <c r="BI317" s="38">
        <v>0</v>
      </c>
      <c r="BJ317" s="38">
        <v>0</v>
      </c>
      <c r="BK317" s="38">
        <v>0</v>
      </c>
      <c r="BL317" s="42" t="s">
        <v>1860</v>
      </c>
      <c r="BM317" s="37" t="s">
        <v>1860</v>
      </c>
      <c r="BN317" s="37" t="s">
        <v>1860</v>
      </c>
      <c r="BO317" s="38">
        <v>0</v>
      </c>
      <c r="BP317" s="38">
        <v>0</v>
      </c>
      <c r="BQ317" s="38">
        <v>0</v>
      </c>
      <c r="BR317" s="37" t="s">
        <v>1860</v>
      </c>
      <c r="BS317" s="37" t="s">
        <v>1860</v>
      </c>
      <c r="BT317" s="37" t="s">
        <v>1860</v>
      </c>
      <c r="BU317" s="2"/>
      <c r="BV317" s="2"/>
    </row>
    <row r="318" spans="1:74" ht="15.75" x14ac:dyDescent="0.3">
      <c r="A318" s="2" t="s">
        <v>54</v>
      </c>
      <c r="B318" s="2" t="s">
        <v>55</v>
      </c>
      <c r="C318" s="2" t="s">
        <v>56</v>
      </c>
      <c r="D318" s="2" t="s">
        <v>57</v>
      </c>
      <c r="E318" s="2" t="s">
        <v>58</v>
      </c>
      <c r="F318" s="2" t="s">
        <v>59</v>
      </c>
      <c r="G318" s="2" t="s">
        <v>60</v>
      </c>
      <c r="H318" s="2" t="s">
        <v>61</v>
      </c>
      <c r="I318" s="2" t="s">
        <v>62</v>
      </c>
      <c r="J318" s="2" t="s">
        <v>63</v>
      </c>
      <c r="K318" s="2" t="s">
        <v>1765</v>
      </c>
      <c r="L318" s="2" t="s">
        <v>1771</v>
      </c>
      <c r="M318" s="2">
        <v>0</v>
      </c>
      <c r="N318" s="2" t="s">
        <v>1772</v>
      </c>
      <c r="O318" s="2" t="s">
        <v>1773</v>
      </c>
      <c r="P318" s="2" t="s">
        <v>80</v>
      </c>
      <c r="Q318" s="2" t="s">
        <v>69</v>
      </c>
      <c r="R318" s="2" t="s">
        <v>70</v>
      </c>
      <c r="S318" s="2" t="s">
        <v>1774</v>
      </c>
      <c r="T318" s="2" t="s">
        <v>1775</v>
      </c>
      <c r="U318" s="31" t="s">
        <v>1776</v>
      </c>
      <c r="V318" s="2" t="s">
        <v>1775</v>
      </c>
      <c r="W318" s="2" t="s">
        <v>84</v>
      </c>
      <c r="X318" s="38">
        <v>32</v>
      </c>
      <c r="Y318" s="38">
        <v>24</v>
      </c>
      <c r="Z318" s="38">
        <v>8</v>
      </c>
      <c r="AA318" s="38">
        <v>0</v>
      </c>
      <c r="AB318" s="38">
        <v>0</v>
      </c>
      <c r="AC318" s="38">
        <v>0</v>
      </c>
      <c r="AD318" s="38">
        <v>0</v>
      </c>
      <c r="AE318" s="38">
        <v>0</v>
      </c>
      <c r="AF318" s="38">
        <v>0</v>
      </c>
      <c r="AG318" s="38">
        <v>0</v>
      </c>
      <c r="AH318" s="38">
        <v>0</v>
      </c>
      <c r="AI318" s="38">
        <v>0</v>
      </c>
      <c r="AJ318" s="41">
        <v>0</v>
      </c>
      <c r="AK318" s="42">
        <v>0</v>
      </c>
      <c r="AL318" s="41">
        <v>0</v>
      </c>
      <c r="AM318" s="42">
        <v>0</v>
      </c>
      <c r="AN318" s="41">
        <v>0</v>
      </c>
      <c r="AO318" s="42">
        <v>0</v>
      </c>
      <c r="AP318" s="38">
        <v>52</v>
      </c>
      <c r="AQ318" s="38">
        <v>37</v>
      </c>
      <c r="AR318" s="38">
        <v>15</v>
      </c>
      <c r="AS318" s="38">
        <v>0</v>
      </c>
      <c r="AT318" s="38">
        <v>0</v>
      </c>
      <c r="AU318" s="38">
        <v>0</v>
      </c>
      <c r="AV318" s="38">
        <v>0</v>
      </c>
      <c r="AW318" s="38">
        <v>0</v>
      </c>
      <c r="AX318" s="38">
        <v>0</v>
      </c>
      <c r="AY318" s="38">
        <v>39</v>
      </c>
      <c r="AZ318" s="38">
        <v>28</v>
      </c>
      <c r="BA318" s="38">
        <v>11</v>
      </c>
      <c r="BB318" s="38">
        <v>-13</v>
      </c>
      <c r="BC318" s="37">
        <v>-33.333333333333329</v>
      </c>
      <c r="BD318" s="40">
        <v>-9</v>
      </c>
      <c r="BE318" s="37">
        <v>-32.142857142857146</v>
      </c>
      <c r="BF318" s="40">
        <v>-4</v>
      </c>
      <c r="BG318" s="37">
        <v>-36.363636363636367</v>
      </c>
      <c r="BH318" s="38">
        <v>0</v>
      </c>
      <c r="BI318" s="38">
        <v>0</v>
      </c>
      <c r="BJ318" s="38">
        <v>0</v>
      </c>
      <c r="BK318" s="38">
        <v>0</v>
      </c>
      <c r="BL318" s="42" t="s">
        <v>1860</v>
      </c>
      <c r="BM318" s="37" t="s">
        <v>1860</v>
      </c>
      <c r="BN318" s="37" t="s">
        <v>1860</v>
      </c>
      <c r="BO318" s="38">
        <v>0</v>
      </c>
      <c r="BP318" s="38">
        <v>0</v>
      </c>
      <c r="BQ318" s="38">
        <v>0</v>
      </c>
      <c r="BR318" s="37" t="s">
        <v>1860</v>
      </c>
      <c r="BS318" s="37" t="s">
        <v>1860</v>
      </c>
      <c r="BT318" s="37" t="s">
        <v>1860</v>
      </c>
      <c r="BU318" s="2"/>
      <c r="BV318" s="2"/>
    </row>
    <row r="319" spans="1:74" ht="15.75" x14ac:dyDescent="0.3">
      <c r="A319" s="2" t="s">
        <v>54</v>
      </c>
      <c r="B319" s="2" t="s">
        <v>55</v>
      </c>
      <c r="C319" s="2" t="s">
        <v>56</v>
      </c>
      <c r="D319" s="2" t="s">
        <v>57</v>
      </c>
      <c r="E319" s="2" t="s">
        <v>95</v>
      </c>
      <c r="F319" s="2" t="s">
        <v>96</v>
      </c>
      <c r="G319" s="2" t="s">
        <v>60</v>
      </c>
      <c r="H319" s="2" t="s">
        <v>61</v>
      </c>
      <c r="I319" s="2" t="s">
        <v>62</v>
      </c>
      <c r="J319" s="2" t="s">
        <v>63</v>
      </c>
      <c r="K319" s="2" t="s">
        <v>1183</v>
      </c>
      <c r="L319" s="2" t="s">
        <v>365</v>
      </c>
      <c r="M319" s="2">
        <v>0</v>
      </c>
      <c r="N319" s="2" t="s">
        <v>1777</v>
      </c>
      <c r="O319" s="2" t="s">
        <v>1778</v>
      </c>
      <c r="P319" s="2" t="s">
        <v>80</v>
      </c>
      <c r="Q319" s="2" t="s">
        <v>69</v>
      </c>
      <c r="R319" s="2" t="s">
        <v>70</v>
      </c>
      <c r="S319" s="2" t="s">
        <v>1779</v>
      </c>
      <c r="T319" s="2" t="s">
        <v>1780</v>
      </c>
      <c r="U319" s="31" t="s">
        <v>1781</v>
      </c>
      <c r="V319" s="2" t="s">
        <v>1780</v>
      </c>
      <c r="W319" s="2" t="s">
        <v>84</v>
      </c>
      <c r="X319" s="38">
        <v>1050</v>
      </c>
      <c r="Y319" s="38">
        <v>617</v>
      </c>
      <c r="Z319" s="38">
        <v>433</v>
      </c>
      <c r="AA319" s="38">
        <v>0</v>
      </c>
      <c r="AB319" s="38">
        <v>0</v>
      </c>
      <c r="AC319" s="38">
        <v>0</v>
      </c>
      <c r="AD319" s="38">
        <v>0</v>
      </c>
      <c r="AE319" s="38">
        <v>0</v>
      </c>
      <c r="AF319" s="38">
        <v>0</v>
      </c>
      <c r="AG319" s="38">
        <v>0</v>
      </c>
      <c r="AH319" s="38">
        <v>0</v>
      </c>
      <c r="AI319" s="38">
        <v>0</v>
      </c>
      <c r="AJ319" s="41">
        <v>0</v>
      </c>
      <c r="AK319" s="42">
        <v>0</v>
      </c>
      <c r="AL319" s="41">
        <v>0</v>
      </c>
      <c r="AM319" s="42">
        <v>0</v>
      </c>
      <c r="AN319" s="41">
        <v>0</v>
      </c>
      <c r="AO319" s="42">
        <v>0</v>
      </c>
      <c r="AP319" s="38">
        <v>1050</v>
      </c>
      <c r="AQ319" s="38">
        <v>617</v>
      </c>
      <c r="AR319" s="38">
        <v>433</v>
      </c>
      <c r="AS319" s="38">
        <v>0</v>
      </c>
      <c r="AT319" s="38">
        <v>0</v>
      </c>
      <c r="AU319" s="38">
        <v>0</v>
      </c>
      <c r="AV319" s="38">
        <v>152</v>
      </c>
      <c r="AW319" s="38">
        <v>76</v>
      </c>
      <c r="AX319" s="38">
        <v>76</v>
      </c>
      <c r="AY319" s="38">
        <v>804</v>
      </c>
      <c r="AZ319" s="38">
        <v>451</v>
      </c>
      <c r="BA319" s="38">
        <v>353</v>
      </c>
      <c r="BB319" s="38">
        <v>-398</v>
      </c>
      <c r="BC319" s="37">
        <v>-49.50248756218906</v>
      </c>
      <c r="BD319" s="40">
        <v>-242</v>
      </c>
      <c r="BE319" s="37">
        <v>-53.658536585365859</v>
      </c>
      <c r="BF319" s="40">
        <v>-156</v>
      </c>
      <c r="BG319" s="37">
        <v>-44.192634560906512</v>
      </c>
      <c r="BH319" s="38">
        <v>152</v>
      </c>
      <c r="BI319" s="38">
        <v>0</v>
      </c>
      <c r="BJ319" s="38">
        <v>0</v>
      </c>
      <c r="BK319" s="38">
        <v>0</v>
      </c>
      <c r="BL319" s="42" t="s">
        <v>1860</v>
      </c>
      <c r="BM319" s="37" t="s">
        <v>1860</v>
      </c>
      <c r="BN319" s="37" t="s">
        <v>1860</v>
      </c>
      <c r="BO319" s="38">
        <v>0</v>
      </c>
      <c r="BP319" s="38">
        <v>0</v>
      </c>
      <c r="BQ319" s="38">
        <v>0</v>
      </c>
      <c r="BR319" s="37" t="s">
        <v>1860</v>
      </c>
      <c r="BS319" s="37" t="s">
        <v>1860</v>
      </c>
      <c r="BT319" s="37" t="s">
        <v>1860</v>
      </c>
      <c r="BU319" s="2"/>
      <c r="BV319" s="2"/>
    </row>
    <row r="320" spans="1:74" ht="15.75" x14ac:dyDescent="0.3">
      <c r="A320" s="2" t="s">
        <v>54</v>
      </c>
      <c r="B320" s="2" t="s">
        <v>55</v>
      </c>
      <c r="C320" s="2" t="s">
        <v>56</v>
      </c>
      <c r="D320" s="2" t="s">
        <v>674</v>
      </c>
      <c r="E320" s="2" t="s">
        <v>674</v>
      </c>
      <c r="F320" s="2" t="s">
        <v>675</v>
      </c>
      <c r="G320" s="2" t="s">
        <v>60</v>
      </c>
      <c r="H320" s="2" t="s">
        <v>61</v>
      </c>
      <c r="I320" s="2" t="s">
        <v>62</v>
      </c>
      <c r="J320" s="2" t="s">
        <v>63</v>
      </c>
      <c r="K320" s="2" t="s">
        <v>798</v>
      </c>
      <c r="L320" s="2" t="s">
        <v>365</v>
      </c>
      <c r="M320" s="2">
        <v>1</v>
      </c>
      <c r="N320" s="2" t="s">
        <v>799</v>
      </c>
      <c r="O320" s="2" t="s">
        <v>800</v>
      </c>
      <c r="P320" s="2" t="s">
        <v>80</v>
      </c>
      <c r="Q320" s="2" t="s">
        <v>69</v>
      </c>
      <c r="R320" s="2" t="s">
        <v>70</v>
      </c>
      <c r="S320" s="2" t="s">
        <v>801</v>
      </c>
      <c r="T320" s="2" t="s">
        <v>802</v>
      </c>
      <c r="U320" s="2" t="s">
        <v>803</v>
      </c>
      <c r="V320" s="2" t="s">
        <v>802</v>
      </c>
      <c r="W320" s="2" t="s">
        <v>113</v>
      </c>
      <c r="X320" s="38">
        <v>2</v>
      </c>
      <c r="Y320" s="38">
        <v>1</v>
      </c>
      <c r="Z320" s="38">
        <v>1</v>
      </c>
      <c r="AA320" s="38">
        <v>2</v>
      </c>
      <c r="AB320" s="38">
        <v>1</v>
      </c>
      <c r="AC320" s="38">
        <v>1</v>
      </c>
      <c r="AD320" s="38">
        <v>0</v>
      </c>
      <c r="AE320" s="38">
        <v>0</v>
      </c>
      <c r="AF320" s="38">
        <v>0</v>
      </c>
      <c r="AG320" s="38">
        <v>0</v>
      </c>
      <c r="AH320" s="38">
        <v>0</v>
      </c>
      <c r="AI320" s="38">
        <v>0</v>
      </c>
      <c r="AJ320" s="38">
        <v>0</v>
      </c>
      <c r="AK320" s="37">
        <v>0</v>
      </c>
      <c r="AL320" s="40">
        <f t="shared" si="16"/>
        <v>0</v>
      </c>
      <c r="AM320" s="37">
        <f t="shared" si="17"/>
        <v>0</v>
      </c>
      <c r="AN320" s="40">
        <f t="shared" si="18"/>
        <v>0</v>
      </c>
      <c r="AO320" s="37">
        <f t="shared" si="19"/>
        <v>0</v>
      </c>
      <c r="AP320" s="38">
        <v>8</v>
      </c>
      <c r="AQ320" s="38">
        <v>4</v>
      </c>
      <c r="AR320" s="38">
        <v>4</v>
      </c>
      <c r="AS320" s="38">
        <v>6</v>
      </c>
      <c r="AT320" s="38">
        <v>3</v>
      </c>
      <c r="AU320" s="38">
        <v>3</v>
      </c>
      <c r="AV320" s="38">
        <v>0</v>
      </c>
      <c r="AW320" s="38">
        <v>0</v>
      </c>
      <c r="AX320" s="38">
        <v>0</v>
      </c>
      <c r="AY320" s="38">
        <v>2</v>
      </c>
      <c r="AZ320" s="38">
        <v>1</v>
      </c>
      <c r="BA320" s="38">
        <v>1</v>
      </c>
      <c r="BB320" s="38">
        <v>0</v>
      </c>
      <c r="BC320" s="37">
        <v>0</v>
      </c>
      <c r="BD320" s="40">
        <v>0</v>
      </c>
      <c r="BE320" s="37">
        <v>0</v>
      </c>
      <c r="BF320" s="40">
        <v>0</v>
      </c>
      <c r="BG320" s="37">
        <v>0</v>
      </c>
      <c r="BH320" s="38">
        <v>0</v>
      </c>
      <c r="BI320" s="38">
        <v>0</v>
      </c>
      <c r="BJ320" s="38">
        <v>0</v>
      </c>
      <c r="BK320" s="38">
        <v>0</v>
      </c>
      <c r="BL320" s="42" t="s">
        <v>1860</v>
      </c>
      <c r="BM320" s="37" t="s">
        <v>1860</v>
      </c>
      <c r="BN320" s="37" t="s">
        <v>1860</v>
      </c>
      <c r="BO320" s="38">
        <v>0</v>
      </c>
      <c r="BP320" s="38">
        <v>0</v>
      </c>
      <c r="BQ320" s="38">
        <v>0</v>
      </c>
      <c r="BR320" s="37" t="s">
        <v>1860</v>
      </c>
      <c r="BS320" s="37" t="s">
        <v>1860</v>
      </c>
      <c r="BT320" s="37" t="s">
        <v>1860</v>
      </c>
      <c r="BU320" s="2"/>
      <c r="BV320" s="2"/>
    </row>
    <row r="321" spans="1:74" ht="15.75" x14ac:dyDescent="0.3">
      <c r="A321" s="2" t="s">
        <v>54</v>
      </c>
      <c r="B321" s="2" t="s">
        <v>55</v>
      </c>
      <c r="C321" s="2" t="s">
        <v>105</v>
      </c>
      <c r="D321" s="2" t="s">
        <v>674</v>
      </c>
      <c r="E321" s="2" t="s">
        <v>674</v>
      </c>
      <c r="F321" s="2" t="s">
        <v>675</v>
      </c>
      <c r="G321" s="2" t="s">
        <v>60</v>
      </c>
      <c r="H321" s="2" t="s">
        <v>61</v>
      </c>
      <c r="I321" s="2" t="s">
        <v>62</v>
      </c>
      <c r="J321" s="2" t="s">
        <v>63</v>
      </c>
      <c r="K321" s="2" t="s">
        <v>159</v>
      </c>
      <c r="L321" s="2" t="s">
        <v>306</v>
      </c>
      <c r="M321" s="2">
        <v>171</v>
      </c>
      <c r="N321" s="2" t="s">
        <v>1164</v>
      </c>
      <c r="O321" s="2" t="s">
        <v>1165</v>
      </c>
      <c r="P321" s="2" t="s">
        <v>80</v>
      </c>
      <c r="Q321" s="2" t="s">
        <v>69</v>
      </c>
      <c r="R321" s="2" t="s">
        <v>70</v>
      </c>
      <c r="S321" s="2" t="s">
        <v>1166</v>
      </c>
      <c r="T321" s="2" t="s">
        <v>1167</v>
      </c>
      <c r="U321" s="2" t="s">
        <v>1168</v>
      </c>
      <c r="V321" s="2" t="s">
        <v>1167</v>
      </c>
      <c r="W321" s="2" t="s">
        <v>113</v>
      </c>
      <c r="X321" s="38">
        <v>9</v>
      </c>
      <c r="Y321" s="38">
        <v>5</v>
      </c>
      <c r="Z321" s="38">
        <v>4</v>
      </c>
      <c r="AA321" s="38">
        <v>9</v>
      </c>
      <c r="AB321" s="38">
        <v>5</v>
      </c>
      <c r="AC321" s="38">
        <v>4</v>
      </c>
      <c r="AD321" s="38">
        <v>0</v>
      </c>
      <c r="AE321" s="38">
        <v>0</v>
      </c>
      <c r="AF321" s="38">
        <v>0</v>
      </c>
      <c r="AG321" s="38">
        <v>0</v>
      </c>
      <c r="AH321" s="38">
        <v>0</v>
      </c>
      <c r="AI321" s="38">
        <v>0</v>
      </c>
      <c r="AJ321" s="38">
        <v>0</v>
      </c>
      <c r="AK321" s="37">
        <v>0</v>
      </c>
      <c r="AL321" s="40">
        <f t="shared" si="16"/>
        <v>0</v>
      </c>
      <c r="AM321" s="37">
        <f t="shared" si="17"/>
        <v>0</v>
      </c>
      <c r="AN321" s="40">
        <f t="shared" si="18"/>
        <v>0</v>
      </c>
      <c r="AO321" s="37">
        <f t="shared" si="19"/>
        <v>0</v>
      </c>
      <c r="AP321" s="38">
        <v>17</v>
      </c>
      <c r="AQ321" s="38">
        <v>11</v>
      </c>
      <c r="AR321" s="38">
        <v>6</v>
      </c>
      <c r="AS321" s="38">
        <v>8</v>
      </c>
      <c r="AT321" s="38">
        <v>6</v>
      </c>
      <c r="AU321" s="38">
        <v>2</v>
      </c>
      <c r="AV321" s="38">
        <v>0</v>
      </c>
      <c r="AW321" s="38">
        <v>0</v>
      </c>
      <c r="AX321" s="38">
        <v>0</v>
      </c>
      <c r="AY321" s="38">
        <v>12</v>
      </c>
      <c r="AZ321" s="38">
        <v>7</v>
      </c>
      <c r="BA321" s="38">
        <v>5</v>
      </c>
      <c r="BB321" s="38">
        <v>3</v>
      </c>
      <c r="BC321" s="37">
        <v>25</v>
      </c>
      <c r="BD321" s="40">
        <v>2</v>
      </c>
      <c r="BE321" s="37">
        <v>28.571428571428569</v>
      </c>
      <c r="BF321" s="40">
        <v>1</v>
      </c>
      <c r="BG321" s="37">
        <v>20</v>
      </c>
      <c r="BH321" s="38">
        <v>0</v>
      </c>
      <c r="BI321" s="38">
        <v>0</v>
      </c>
      <c r="BJ321" s="38">
        <v>0</v>
      </c>
      <c r="BK321" s="38">
        <v>0</v>
      </c>
      <c r="BL321" s="42" t="s">
        <v>1860</v>
      </c>
      <c r="BM321" s="37" t="s">
        <v>1860</v>
      </c>
      <c r="BN321" s="37" t="s">
        <v>1860</v>
      </c>
      <c r="BO321" s="38">
        <v>0</v>
      </c>
      <c r="BP321" s="38">
        <v>0</v>
      </c>
      <c r="BQ321" s="38">
        <v>0</v>
      </c>
      <c r="BR321" s="37" t="s">
        <v>1860</v>
      </c>
      <c r="BS321" s="37" t="s">
        <v>1860</v>
      </c>
      <c r="BT321" s="37" t="s">
        <v>1860</v>
      </c>
      <c r="BU321" s="2"/>
      <c r="BV321" s="2"/>
    </row>
    <row r="322" spans="1:74" ht="15.75" x14ac:dyDescent="0.3">
      <c r="A322" s="2" t="s">
        <v>54</v>
      </c>
      <c r="B322" s="2" t="s">
        <v>55</v>
      </c>
      <c r="C322" s="2" t="s">
        <v>105</v>
      </c>
      <c r="D322" s="2" t="s">
        <v>674</v>
      </c>
      <c r="E322" s="2" t="s">
        <v>674</v>
      </c>
      <c r="F322" s="2" t="s">
        <v>675</v>
      </c>
      <c r="G322" s="2" t="s">
        <v>60</v>
      </c>
      <c r="H322" s="2" t="s">
        <v>61</v>
      </c>
      <c r="I322" s="2" t="s">
        <v>378</v>
      </c>
      <c r="J322" s="2" t="s">
        <v>378</v>
      </c>
      <c r="K322" s="2" t="s">
        <v>1782</v>
      </c>
      <c r="L322" s="2" t="s">
        <v>1743</v>
      </c>
      <c r="M322" s="2">
        <v>0</v>
      </c>
      <c r="N322" s="2" t="s">
        <v>1783</v>
      </c>
      <c r="O322" s="2" t="s">
        <v>1784</v>
      </c>
      <c r="P322" s="2" t="s">
        <v>1785</v>
      </c>
      <c r="Q322" s="2" t="s">
        <v>144</v>
      </c>
      <c r="R322" s="2" t="s">
        <v>145</v>
      </c>
      <c r="S322" s="2" t="s">
        <v>1786</v>
      </c>
      <c r="T322" s="2" t="s">
        <v>1787</v>
      </c>
      <c r="U322" s="2" t="s">
        <v>1788</v>
      </c>
      <c r="V322" s="2" t="s">
        <v>1787</v>
      </c>
      <c r="W322" s="2" t="s">
        <v>113</v>
      </c>
      <c r="X322" s="38">
        <v>35</v>
      </c>
      <c r="Y322" s="38">
        <v>35</v>
      </c>
      <c r="Z322" s="38">
        <v>0</v>
      </c>
      <c r="AA322" s="38">
        <v>35</v>
      </c>
      <c r="AB322" s="38">
        <v>35</v>
      </c>
      <c r="AC322" s="38">
        <v>0</v>
      </c>
      <c r="AD322" s="38">
        <v>0</v>
      </c>
      <c r="AE322" s="38">
        <v>0</v>
      </c>
      <c r="AF322" s="38">
        <v>0</v>
      </c>
      <c r="AG322" s="38">
        <v>0</v>
      </c>
      <c r="AH322" s="38">
        <v>0</v>
      </c>
      <c r="AI322" s="38">
        <v>0</v>
      </c>
      <c r="AJ322" s="38">
        <v>0</v>
      </c>
      <c r="AK322" s="37">
        <v>0</v>
      </c>
      <c r="AL322" s="40">
        <f t="shared" si="16"/>
        <v>0</v>
      </c>
      <c r="AM322" s="37">
        <f t="shared" si="17"/>
        <v>0</v>
      </c>
      <c r="AN322" s="40">
        <f t="shared" si="18"/>
        <v>0</v>
      </c>
      <c r="AO322" s="37" t="e">
        <f t="shared" si="19"/>
        <v>#DIV/0!</v>
      </c>
      <c r="AP322" s="38">
        <v>66</v>
      </c>
      <c r="AQ322" s="38">
        <v>45</v>
      </c>
      <c r="AR322" s="38">
        <v>21</v>
      </c>
      <c r="AS322" s="38">
        <v>26</v>
      </c>
      <c r="AT322" s="38">
        <v>17</v>
      </c>
      <c r="AU322" s="38">
        <v>9</v>
      </c>
      <c r="AV322" s="38">
        <v>0</v>
      </c>
      <c r="AW322" s="38">
        <v>0</v>
      </c>
      <c r="AX322" s="38">
        <v>0</v>
      </c>
      <c r="AY322" s="38">
        <v>38</v>
      </c>
      <c r="AZ322" s="38">
        <v>38</v>
      </c>
      <c r="BA322" s="38">
        <v>0</v>
      </c>
      <c r="BB322" s="38">
        <v>-2</v>
      </c>
      <c r="BC322" s="37">
        <v>-5.2631578947368416</v>
      </c>
      <c r="BD322" s="40">
        <v>10</v>
      </c>
      <c r="BE322" s="37">
        <v>26.315789473684209</v>
      </c>
      <c r="BF322" s="40">
        <v>-12</v>
      </c>
      <c r="BG322" s="37" t="e">
        <v>#DIV/0!</v>
      </c>
      <c r="BH322" s="38">
        <v>0</v>
      </c>
      <c r="BI322" s="38">
        <v>0</v>
      </c>
      <c r="BJ322" s="38">
        <v>0</v>
      </c>
      <c r="BK322" s="38">
        <v>0</v>
      </c>
      <c r="BL322" s="42" t="s">
        <v>1860</v>
      </c>
      <c r="BM322" s="37" t="s">
        <v>1860</v>
      </c>
      <c r="BN322" s="37" t="s">
        <v>1860</v>
      </c>
      <c r="BO322" s="38">
        <v>0</v>
      </c>
      <c r="BP322" s="38">
        <v>0</v>
      </c>
      <c r="BQ322" s="38">
        <v>0</v>
      </c>
      <c r="BR322" s="37" t="s">
        <v>1860</v>
      </c>
      <c r="BS322" s="37" t="s">
        <v>1860</v>
      </c>
      <c r="BT322" s="37" t="s">
        <v>1860</v>
      </c>
      <c r="BU322" s="2"/>
      <c r="BV322" s="2"/>
    </row>
    <row r="323" spans="1:74" ht="15.75" x14ac:dyDescent="0.3">
      <c r="A323" s="2" t="s">
        <v>54</v>
      </c>
      <c r="B323" s="2" t="s">
        <v>55</v>
      </c>
      <c r="C323" s="2" t="s">
        <v>105</v>
      </c>
      <c r="D323" s="2" t="s">
        <v>674</v>
      </c>
      <c r="E323" s="2" t="s">
        <v>674</v>
      </c>
      <c r="F323" s="2" t="s">
        <v>675</v>
      </c>
      <c r="G323" s="2" t="s">
        <v>60</v>
      </c>
      <c r="H323" s="2" t="s">
        <v>61</v>
      </c>
      <c r="I323" s="2" t="s">
        <v>140</v>
      </c>
      <c r="J323" s="2" t="s">
        <v>140</v>
      </c>
      <c r="K323" s="2" t="s">
        <v>1789</v>
      </c>
      <c r="L323" s="2" t="s">
        <v>1790</v>
      </c>
      <c r="M323" s="2">
        <v>12</v>
      </c>
      <c r="N323" s="2" t="s">
        <v>1791</v>
      </c>
      <c r="O323" s="2" t="s">
        <v>1792</v>
      </c>
      <c r="P323" s="2" t="s">
        <v>80</v>
      </c>
      <c r="Q323" s="2" t="s">
        <v>144</v>
      </c>
      <c r="R323" s="2" t="s">
        <v>145</v>
      </c>
      <c r="S323" s="2" t="s">
        <v>1793</v>
      </c>
      <c r="T323" s="2" t="s">
        <v>1794</v>
      </c>
      <c r="U323" s="2" t="s">
        <v>1795</v>
      </c>
      <c r="V323" s="2" t="s">
        <v>1794</v>
      </c>
      <c r="W323" s="2" t="s">
        <v>113</v>
      </c>
      <c r="X323" s="38">
        <v>16</v>
      </c>
      <c r="Y323" s="38">
        <v>8</v>
      </c>
      <c r="Z323" s="38">
        <v>8</v>
      </c>
      <c r="AA323" s="38">
        <v>14</v>
      </c>
      <c r="AB323" s="38">
        <v>6</v>
      </c>
      <c r="AC323" s="38">
        <v>8</v>
      </c>
      <c r="AD323" s="38">
        <v>0</v>
      </c>
      <c r="AE323" s="38">
        <v>0</v>
      </c>
      <c r="AF323" s="38">
        <v>0</v>
      </c>
      <c r="AG323" s="38">
        <v>0</v>
      </c>
      <c r="AH323" s="38">
        <v>0</v>
      </c>
      <c r="AI323" s="38">
        <v>0</v>
      </c>
      <c r="AJ323" s="38">
        <v>2</v>
      </c>
      <c r="AK323" s="37">
        <v>12.5</v>
      </c>
      <c r="AL323" s="40">
        <f t="shared" si="16"/>
        <v>2</v>
      </c>
      <c r="AM323" s="37">
        <f t="shared" si="17"/>
        <v>25</v>
      </c>
      <c r="AN323" s="40">
        <f t="shared" si="18"/>
        <v>0</v>
      </c>
      <c r="AO323" s="37">
        <f t="shared" si="19"/>
        <v>0</v>
      </c>
      <c r="AP323" s="38">
        <v>22</v>
      </c>
      <c r="AQ323" s="38">
        <v>9</v>
      </c>
      <c r="AR323" s="38">
        <v>13</v>
      </c>
      <c r="AS323" s="38">
        <v>9</v>
      </c>
      <c r="AT323" s="38">
        <v>3</v>
      </c>
      <c r="AU323" s="38">
        <v>6</v>
      </c>
      <c r="AV323" s="38">
        <v>0</v>
      </c>
      <c r="AW323" s="38">
        <v>0</v>
      </c>
      <c r="AX323" s="38">
        <v>0</v>
      </c>
      <c r="AY323" s="38">
        <v>17</v>
      </c>
      <c r="AZ323" s="38">
        <v>8</v>
      </c>
      <c r="BA323" s="38">
        <v>9</v>
      </c>
      <c r="BB323" s="38">
        <v>4</v>
      </c>
      <c r="BC323" s="37">
        <v>23.52941176470588</v>
      </c>
      <c r="BD323" s="40">
        <v>2</v>
      </c>
      <c r="BE323" s="37">
        <v>25</v>
      </c>
      <c r="BF323" s="40">
        <v>2</v>
      </c>
      <c r="BG323" s="37">
        <v>22.222222222222221</v>
      </c>
      <c r="BH323" s="38">
        <v>0</v>
      </c>
      <c r="BI323" s="38">
        <v>0</v>
      </c>
      <c r="BJ323" s="38">
        <v>0</v>
      </c>
      <c r="BK323" s="38">
        <v>0</v>
      </c>
      <c r="BL323" s="42" t="s">
        <v>1860</v>
      </c>
      <c r="BM323" s="37" t="s">
        <v>1860</v>
      </c>
      <c r="BN323" s="37" t="s">
        <v>1860</v>
      </c>
      <c r="BO323" s="38">
        <v>0</v>
      </c>
      <c r="BP323" s="38">
        <v>0</v>
      </c>
      <c r="BQ323" s="38">
        <v>0</v>
      </c>
      <c r="BR323" s="37" t="s">
        <v>1860</v>
      </c>
      <c r="BS323" s="37" t="s">
        <v>1860</v>
      </c>
      <c r="BT323" s="37" t="s">
        <v>1860</v>
      </c>
      <c r="BU323" s="2"/>
      <c r="BV323" s="2"/>
    </row>
    <row r="324" spans="1:74" ht="15.75" x14ac:dyDescent="0.3">
      <c r="A324" s="2" t="s">
        <v>54</v>
      </c>
      <c r="B324" s="2" t="s">
        <v>55</v>
      </c>
      <c r="C324" s="2" t="s">
        <v>56</v>
      </c>
      <c r="D324" s="2" t="s">
        <v>674</v>
      </c>
      <c r="E324" s="2" t="s">
        <v>674</v>
      </c>
      <c r="F324" s="2" t="s">
        <v>739</v>
      </c>
      <c r="G324" s="2" t="s">
        <v>60</v>
      </c>
      <c r="H324" s="2" t="s">
        <v>61</v>
      </c>
      <c r="I324" s="2" t="s">
        <v>62</v>
      </c>
      <c r="J324" s="2" t="s">
        <v>1735</v>
      </c>
      <c r="K324" s="2" t="s">
        <v>76</v>
      </c>
      <c r="L324" s="2" t="s">
        <v>1796</v>
      </c>
      <c r="M324" s="2">
        <v>911</v>
      </c>
      <c r="N324" s="2" t="s">
        <v>1797</v>
      </c>
      <c r="O324" s="2" t="s">
        <v>1798</v>
      </c>
      <c r="P324" s="2" t="s">
        <v>80</v>
      </c>
      <c r="Q324" s="2" t="s">
        <v>69</v>
      </c>
      <c r="R324" s="2" t="s">
        <v>70</v>
      </c>
      <c r="S324" s="2" t="s">
        <v>1799</v>
      </c>
      <c r="T324" s="2" t="s">
        <v>1800</v>
      </c>
      <c r="U324" s="2" t="s">
        <v>1801</v>
      </c>
      <c r="V324" s="2" t="s">
        <v>1800</v>
      </c>
      <c r="W324" s="2" t="s">
        <v>84</v>
      </c>
      <c r="X324" s="38">
        <v>176</v>
      </c>
      <c r="Y324" s="38">
        <v>96</v>
      </c>
      <c r="Z324" s="38">
        <v>80</v>
      </c>
      <c r="AA324" s="38">
        <v>167</v>
      </c>
      <c r="AB324" s="38">
        <v>89</v>
      </c>
      <c r="AC324" s="38">
        <v>78</v>
      </c>
      <c r="AD324" s="38">
        <v>9</v>
      </c>
      <c r="AE324" s="38">
        <v>7</v>
      </c>
      <c r="AF324" s="38">
        <v>2</v>
      </c>
      <c r="AG324" s="38">
        <v>0</v>
      </c>
      <c r="AH324" s="38">
        <v>0</v>
      </c>
      <c r="AI324" s="38">
        <v>0</v>
      </c>
      <c r="AJ324" s="38">
        <v>0</v>
      </c>
      <c r="AK324" s="37">
        <v>0</v>
      </c>
      <c r="AL324" s="40">
        <f t="shared" si="16"/>
        <v>0</v>
      </c>
      <c r="AM324" s="37">
        <f t="shared" si="17"/>
        <v>0</v>
      </c>
      <c r="AN324" s="40">
        <f t="shared" si="18"/>
        <v>0</v>
      </c>
      <c r="AO324" s="37">
        <f t="shared" si="19"/>
        <v>0</v>
      </c>
      <c r="AP324" s="38">
        <v>352</v>
      </c>
      <c r="AQ324" s="38">
        <v>179</v>
      </c>
      <c r="AR324" s="38">
        <v>173</v>
      </c>
      <c r="AS324" s="38">
        <v>149</v>
      </c>
      <c r="AT324" s="38">
        <v>69</v>
      </c>
      <c r="AU324" s="38">
        <v>80</v>
      </c>
      <c r="AV324" s="38">
        <v>0</v>
      </c>
      <c r="AW324" s="38">
        <v>0</v>
      </c>
      <c r="AX324" s="38">
        <v>0</v>
      </c>
      <c r="AY324" s="38">
        <v>156</v>
      </c>
      <c r="AZ324" s="38">
        <v>90</v>
      </c>
      <c r="BA324" s="38">
        <v>66</v>
      </c>
      <c r="BB324" s="38">
        <v>-47</v>
      </c>
      <c r="BC324" s="37">
        <v>-30.128205128205128</v>
      </c>
      <c r="BD324" s="40">
        <v>-20</v>
      </c>
      <c r="BE324" s="37">
        <v>-22.222222222222221</v>
      </c>
      <c r="BF324" s="40">
        <v>-27</v>
      </c>
      <c r="BG324" s="37">
        <v>-40.909090909090914</v>
      </c>
      <c r="BH324" s="38">
        <v>0</v>
      </c>
      <c r="BI324" s="38">
        <v>0</v>
      </c>
      <c r="BJ324" s="38">
        <v>0</v>
      </c>
      <c r="BK324" s="38">
        <v>0</v>
      </c>
      <c r="BL324" s="42" t="s">
        <v>1860</v>
      </c>
      <c r="BM324" s="37" t="s">
        <v>1860</v>
      </c>
      <c r="BN324" s="37" t="s">
        <v>1860</v>
      </c>
      <c r="BO324" s="38">
        <v>0</v>
      </c>
      <c r="BP324" s="38">
        <v>0</v>
      </c>
      <c r="BQ324" s="38">
        <v>0</v>
      </c>
      <c r="BR324" s="37" t="s">
        <v>1860</v>
      </c>
      <c r="BS324" s="37" t="s">
        <v>1860</v>
      </c>
      <c r="BT324" s="37" t="s">
        <v>1860</v>
      </c>
      <c r="BU324" s="2"/>
      <c r="BV324" s="2"/>
    </row>
    <row r="325" spans="1:74" ht="15.75" x14ac:dyDescent="0.3">
      <c r="A325" s="2" t="s">
        <v>54</v>
      </c>
      <c r="B325" s="2" t="s">
        <v>55</v>
      </c>
      <c r="C325" s="2" t="s">
        <v>105</v>
      </c>
      <c r="D325" s="2" t="s">
        <v>674</v>
      </c>
      <c r="E325" s="2" t="s">
        <v>674</v>
      </c>
      <c r="F325" s="2" t="s">
        <v>739</v>
      </c>
      <c r="G325" s="2" t="s">
        <v>60</v>
      </c>
      <c r="H325" s="2" t="s">
        <v>61</v>
      </c>
      <c r="I325" s="2" t="s">
        <v>157</v>
      </c>
      <c r="J325" s="2" t="s">
        <v>1802</v>
      </c>
      <c r="K325" s="2" t="s">
        <v>76</v>
      </c>
      <c r="L325" s="2" t="s">
        <v>1803</v>
      </c>
      <c r="M325" s="2">
        <v>172</v>
      </c>
      <c r="N325" s="2" t="s">
        <v>1804</v>
      </c>
      <c r="O325" s="2" t="s">
        <v>1805</v>
      </c>
      <c r="P325" s="2" t="s">
        <v>1806</v>
      </c>
      <c r="Q325" s="2" t="s">
        <v>69</v>
      </c>
      <c r="R325" s="2" t="s">
        <v>70</v>
      </c>
      <c r="S325" s="2" t="s">
        <v>1807</v>
      </c>
      <c r="T325" s="2" t="s">
        <v>1808</v>
      </c>
      <c r="U325" s="2" t="s">
        <v>1809</v>
      </c>
      <c r="V325" s="2" t="s">
        <v>1808</v>
      </c>
      <c r="W325" s="2" t="s">
        <v>74</v>
      </c>
      <c r="X325" s="38">
        <v>106</v>
      </c>
      <c r="Y325" s="38">
        <v>38</v>
      </c>
      <c r="Z325" s="38">
        <v>68</v>
      </c>
      <c r="AA325" s="38">
        <v>85</v>
      </c>
      <c r="AB325" s="38">
        <v>25</v>
      </c>
      <c r="AC325" s="38">
        <v>60</v>
      </c>
      <c r="AD325" s="38">
        <v>21</v>
      </c>
      <c r="AE325" s="38">
        <v>13</v>
      </c>
      <c r="AF325" s="38">
        <v>8</v>
      </c>
      <c r="AG325" s="38">
        <v>0</v>
      </c>
      <c r="AH325" s="38">
        <v>0</v>
      </c>
      <c r="AI325" s="38">
        <v>0</v>
      </c>
      <c r="AJ325" s="38">
        <v>0</v>
      </c>
      <c r="AK325" s="37">
        <v>0</v>
      </c>
      <c r="AL325" s="40">
        <f t="shared" si="16"/>
        <v>0</v>
      </c>
      <c r="AM325" s="37">
        <f t="shared" si="17"/>
        <v>0</v>
      </c>
      <c r="AN325" s="40">
        <f t="shared" si="18"/>
        <v>0</v>
      </c>
      <c r="AO325" s="37">
        <f t="shared" si="19"/>
        <v>0</v>
      </c>
      <c r="AP325" s="38">
        <v>424</v>
      </c>
      <c r="AQ325" s="38">
        <v>165</v>
      </c>
      <c r="AR325" s="38">
        <v>259</v>
      </c>
      <c r="AS325" s="38">
        <v>318</v>
      </c>
      <c r="AT325" s="38">
        <v>127</v>
      </c>
      <c r="AU325" s="38">
        <v>191</v>
      </c>
      <c r="AV325" s="38">
        <v>0</v>
      </c>
      <c r="AW325" s="38">
        <v>0</v>
      </c>
      <c r="AX325" s="38">
        <v>0</v>
      </c>
      <c r="AY325" s="38">
        <v>119</v>
      </c>
      <c r="AZ325" s="38">
        <v>42</v>
      </c>
      <c r="BA325" s="38">
        <v>77</v>
      </c>
      <c r="BB325" s="38">
        <v>13</v>
      </c>
      <c r="BC325" s="37">
        <v>10.92436974789916</v>
      </c>
      <c r="BD325" s="40">
        <v>4</v>
      </c>
      <c r="BE325" s="37">
        <v>9.5238095238095237</v>
      </c>
      <c r="BF325" s="40">
        <v>9</v>
      </c>
      <c r="BG325" s="37">
        <v>11.688311688311687</v>
      </c>
      <c r="BH325" s="38">
        <v>0</v>
      </c>
      <c r="BI325" s="38">
        <v>0</v>
      </c>
      <c r="BJ325" s="38">
        <v>0</v>
      </c>
      <c r="BK325" s="38">
        <v>0</v>
      </c>
      <c r="BL325" s="42" t="s">
        <v>1860</v>
      </c>
      <c r="BM325" s="37" t="s">
        <v>1860</v>
      </c>
      <c r="BN325" s="37" t="s">
        <v>1860</v>
      </c>
      <c r="BO325" s="38">
        <v>0</v>
      </c>
      <c r="BP325" s="38">
        <v>0</v>
      </c>
      <c r="BQ325" s="38">
        <v>0</v>
      </c>
      <c r="BR325" s="37" t="s">
        <v>1860</v>
      </c>
      <c r="BS325" s="37" t="s">
        <v>1860</v>
      </c>
      <c r="BT325" s="37" t="s">
        <v>1860</v>
      </c>
      <c r="BU325" s="2"/>
      <c r="BV325" s="2"/>
    </row>
    <row r="326" spans="1:74" ht="15.75" x14ac:dyDescent="0.3">
      <c r="A326" s="2" t="s">
        <v>54</v>
      </c>
      <c r="B326" s="2" t="s">
        <v>55</v>
      </c>
      <c r="C326" s="2" t="s">
        <v>56</v>
      </c>
      <c r="D326" s="2" t="s">
        <v>674</v>
      </c>
      <c r="E326" s="2" t="s">
        <v>674</v>
      </c>
      <c r="F326" s="2" t="s">
        <v>739</v>
      </c>
      <c r="G326" s="2" t="s">
        <v>60</v>
      </c>
      <c r="H326" s="2" t="s">
        <v>61</v>
      </c>
      <c r="I326" s="2" t="s">
        <v>178</v>
      </c>
      <c r="J326" s="2" t="s">
        <v>178</v>
      </c>
      <c r="K326" s="2" t="s">
        <v>1810</v>
      </c>
      <c r="L326" s="2" t="s">
        <v>1811</v>
      </c>
      <c r="M326" s="2">
        <v>10</v>
      </c>
      <c r="N326" s="2" t="s">
        <v>1812</v>
      </c>
      <c r="O326" s="2" t="s">
        <v>1813</v>
      </c>
      <c r="P326" s="2" t="s">
        <v>80</v>
      </c>
      <c r="Q326" s="2" t="s">
        <v>90</v>
      </c>
      <c r="R326" s="2" t="s">
        <v>91</v>
      </c>
      <c r="S326" s="2" t="s">
        <v>1814</v>
      </c>
      <c r="T326" s="2" t="s">
        <v>1815</v>
      </c>
      <c r="U326" s="2" t="s">
        <v>1816</v>
      </c>
      <c r="V326" s="2" t="s">
        <v>1815</v>
      </c>
      <c r="W326" s="2" t="s">
        <v>74</v>
      </c>
      <c r="X326" s="38">
        <v>10</v>
      </c>
      <c r="Y326" s="38">
        <v>6</v>
      </c>
      <c r="Z326" s="38">
        <v>4</v>
      </c>
      <c r="AA326" s="38">
        <v>10</v>
      </c>
      <c r="AB326" s="38">
        <v>6</v>
      </c>
      <c r="AC326" s="38">
        <v>4</v>
      </c>
      <c r="AD326" s="38">
        <v>0</v>
      </c>
      <c r="AE326" s="38">
        <v>0</v>
      </c>
      <c r="AF326" s="38">
        <v>0</v>
      </c>
      <c r="AG326" s="38">
        <v>0</v>
      </c>
      <c r="AH326" s="38">
        <v>0</v>
      </c>
      <c r="AI326" s="38">
        <v>0</v>
      </c>
      <c r="AJ326" s="38">
        <v>0</v>
      </c>
      <c r="AK326" s="37">
        <v>0</v>
      </c>
      <c r="AL326" s="40">
        <f t="shared" si="16"/>
        <v>0</v>
      </c>
      <c r="AM326" s="37">
        <f t="shared" si="17"/>
        <v>0</v>
      </c>
      <c r="AN326" s="40">
        <f t="shared" si="18"/>
        <v>0</v>
      </c>
      <c r="AO326" s="37">
        <f t="shared" si="19"/>
        <v>0</v>
      </c>
      <c r="AP326" s="38">
        <v>20</v>
      </c>
      <c r="AQ326" s="38">
        <v>12</v>
      </c>
      <c r="AR326" s="38">
        <v>8</v>
      </c>
      <c r="AS326" s="38">
        <v>14</v>
      </c>
      <c r="AT326" s="38">
        <v>9</v>
      </c>
      <c r="AU326" s="38">
        <v>5</v>
      </c>
      <c r="AV326" s="38">
        <v>0</v>
      </c>
      <c r="AW326" s="38">
        <v>0</v>
      </c>
      <c r="AX326" s="38">
        <v>0</v>
      </c>
      <c r="AY326" s="38">
        <v>49</v>
      </c>
      <c r="AZ326" s="38">
        <v>43</v>
      </c>
      <c r="BA326" s="38">
        <v>6</v>
      </c>
      <c r="BB326" s="38">
        <v>43</v>
      </c>
      <c r="BC326" s="37">
        <v>87.755102040816325</v>
      </c>
      <c r="BD326" s="40">
        <v>40</v>
      </c>
      <c r="BE326" s="37">
        <v>93.023255813953483</v>
      </c>
      <c r="BF326" s="40">
        <v>3</v>
      </c>
      <c r="BG326" s="37">
        <v>50</v>
      </c>
      <c r="BH326" s="38">
        <v>0</v>
      </c>
      <c r="BI326" s="38">
        <v>0</v>
      </c>
      <c r="BJ326" s="38">
        <v>0</v>
      </c>
      <c r="BK326" s="38">
        <v>0</v>
      </c>
      <c r="BL326" s="42" t="s">
        <v>1860</v>
      </c>
      <c r="BM326" s="37" t="s">
        <v>1860</v>
      </c>
      <c r="BN326" s="37" t="s">
        <v>1860</v>
      </c>
      <c r="BO326" s="38">
        <v>0</v>
      </c>
      <c r="BP326" s="38">
        <v>0</v>
      </c>
      <c r="BQ326" s="38">
        <v>0</v>
      </c>
      <c r="BR326" s="37" t="s">
        <v>1860</v>
      </c>
      <c r="BS326" s="37" t="s">
        <v>1860</v>
      </c>
      <c r="BT326" s="37" t="s">
        <v>1860</v>
      </c>
      <c r="BU326" s="2"/>
      <c r="BV326" s="2"/>
    </row>
    <row r="327" spans="1:74" ht="15.75" x14ac:dyDescent="0.3">
      <c r="A327" s="2" t="s">
        <v>54</v>
      </c>
      <c r="B327" s="2" t="s">
        <v>55</v>
      </c>
      <c r="C327" s="2" t="s">
        <v>105</v>
      </c>
      <c r="D327" s="2" t="s">
        <v>674</v>
      </c>
      <c r="E327" s="2" t="s">
        <v>674</v>
      </c>
      <c r="F327" s="2" t="s">
        <v>675</v>
      </c>
      <c r="G327" s="2" t="s">
        <v>60</v>
      </c>
      <c r="H327" s="2" t="s">
        <v>61</v>
      </c>
      <c r="I327" s="2" t="s">
        <v>178</v>
      </c>
      <c r="J327" s="2" t="s">
        <v>178</v>
      </c>
      <c r="K327" s="2" t="s">
        <v>1817</v>
      </c>
      <c r="L327" s="2" t="s">
        <v>1818</v>
      </c>
      <c r="M327" s="2">
        <v>22</v>
      </c>
      <c r="N327" s="2" t="s">
        <v>1819</v>
      </c>
      <c r="O327" s="2" t="s">
        <v>1820</v>
      </c>
      <c r="P327" s="2" t="s">
        <v>80</v>
      </c>
      <c r="Q327" s="2" t="s">
        <v>90</v>
      </c>
      <c r="R327" s="2" t="s">
        <v>91</v>
      </c>
      <c r="S327" s="2" t="s">
        <v>1821</v>
      </c>
      <c r="T327" s="2" t="s">
        <v>1822</v>
      </c>
      <c r="U327" s="2" t="s">
        <v>1823</v>
      </c>
      <c r="V327" s="2" t="s">
        <v>1822</v>
      </c>
      <c r="W327" s="2" t="s">
        <v>84</v>
      </c>
      <c r="X327" s="38">
        <v>21</v>
      </c>
      <c r="Y327" s="38">
        <v>8</v>
      </c>
      <c r="Z327" s="38">
        <v>13</v>
      </c>
      <c r="AA327" s="38">
        <v>21</v>
      </c>
      <c r="AB327" s="38">
        <v>8</v>
      </c>
      <c r="AC327" s="38">
        <v>13</v>
      </c>
      <c r="AD327" s="38">
        <v>0</v>
      </c>
      <c r="AE327" s="38">
        <v>0</v>
      </c>
      <c r="AF327" s="38">
        <v>0</v>
      </c>
      <c r="AG327" s="38">
        <v>0</v>
      </c>
      <c r="AH327" s="38">
        <v>0</v>
      </c>
      <c r="AI327" s="38">
        <v>0</v>
      </c>
      <c r="AJ327" s="38">
        <v>0</v>
      </c>
      <c r="AK327" s="37">
        <v>0</v>
      </c>
      <c r="AL327" s="40">
        <f t="shared" si="16"/>
        <v>0</v>
      </c>
      <c r="AM327" s="37">
        <f t="shared" si="17"/>
        <v>0</v>
      </c>
      <c r="AN327" s="40">
        <f t="shared" si="18"/>
        <v>0</v>
      </c>
      <c r="AO327" s="37">
        <f t="shared" si="19"/>
        <v>0</v>
      </c>
      <c r="AP327" s="38">
        <v>40</v>
      </c>
      <c r="AQ327" s="38">
        <v>16</v>
      </c>
      <c r="AR327" s="38">
        <v>24</v>
      </c>
      <c r="AS327" s="38">
        <v>19</v>
      </c>
      <c r="AT327" s="38">
        <v>8</v>
      </c>
      <c r="AU327" s="38">
        <v>11</v>
      </c>
      <c r="AV327" s="38">
        <v>0</v>
      </c>
      <c r="AW327" s="38">
        <v>0</v>
      </c>
      <c r="AX327" s="38">
        <v>0</v>
      </c>
      <c r="AY327" s="38">
        <v>21</v>
      </c>
      <c r="AZ327" s="38">
        <v>8</v>
      </c>
      <c r="BA327" s="38">
        <v>13</v>
      </c>
      <c r="BB327" s="38">
        <v>0</v>
      </c>
      <c r="BC327" s="37">
        <v>0</v>
      </c>
      <c r="BD327" s="40">
        <v>0</v>
      </c>
      <c r="BE327" s="37">
        <v>0</v>
      </c>
      <c r="BF327" s="40">
        <v>0</v>
      </c>
      <c r="BG327" s="37">
        <v>0</v>
      </c>
      <c r="BH327" s="38">
        <v>0</v>
      </c>
      <c r="BI327" s="38">
        <v>0</v>
      </c>
      <c r="BJ327" s="38">
        <v>0</v>
      </c>
      <c r="BK327" s="38">
        <v>0</v>
      </c>
      <c r="BL327" s="42" t="s">
        <v>1860</v>
      </c>
      <c r="BM327" s="37" t="s">
        <v>1860</v>
      </c>
      <c r="BN327" s="37" t="s">
        <v>1860</v>
      </c>
      <c r="BO327" s="38">
        <v>0</v>
      </c>
      <c r="BP327" s="38">
        <v>0</v>
      </c>
      <c r="BQ327" s="38">
        <v>0</v>
      </c>
      <c r="BR327" s="37" t="s">
        <v>1860</v>
      </c>
      <c r="BS327" s="37" t="s">
        <v>1860</v>
      </c>
      <c r="BT327" s="37" t="s">
        <v>1860</v>
      </c>
      <c r="BU327" s="2"/>
      <c r="BV327" s="2"/>
    </row>
    <row r="328" spans="1:74" ht="15.75" x14ac:dyDescent="0.3">
      <c r="A328" s="2" t="s">
        <v>54</v>
      </c>
      <c r="B328" s="2" t="s">
        <v>55</v>
      </c>
      <c r="C328" s="2" t="s">
        <v>56</v>
      </c>
      <c r="D328" s="2" t="s">
        <v>674</v>
      </c>
      <c r="E328" s="2" t="s">
        <v>674</v>
      </c>
      <c r="F328" s="2" t="s">
        <v>739</v>
      </c>
      <c r="G328" s="2" t="s">
        <v>60</v>
      </c>
      <c r="H328" s="2" t="s">
        <v>61</v>
      </c>
      <c r="I328" s="2" t="s">
        <v>62</v>
      </c>
      <c r="J328" s="2" t="s">
        <v>63</v>
      </c>
      <c r="K328" s="2" t="s">
        <v>1824</v>
      </c>
      <c r="L328" s="2" t="s">
        <v>1825</v>
      </c>
      <c r="M328" s="2">
        <v>204</v>
      </c>
      <c r="N328" s="2" t="s">
        <v>1826</v>
      </c>
      <c r="O328" s="2" t="s">
        <v>1827</v>
      </c>
      <c r="P328" s="2" t="s">
        <v>1828</v>
      </c>
      <c r="Q328" s="2" t="s">
        <v>69</v>
      </c>
      <c r="R328" s="2" t="s">
        <v>70</v>
      </c>
      <c r="S328" s="2" t="s">
        <v>1829</v>
      </c>
      <c r="T328" s="2" t="s">
        <v>1830</v>
      </c>
      <c r="U328" s="2" t="s">
        <v>1831</v>
      </c>
      <c r="V328" s="2" t="s">
        <v>1830</v>
      </c>
      <c r="W328" s="2" t="s">
        <v>113</v>
      </c>
      <c r="X328" s="38">
        <v>36</v>
      </c>
      <c r="Y328" s="38">
        <v>22</v>
      </c>
      <c r="Z328" s="38">
        <v>14</v>
      </c>
      <c r="AA328" s="38">
        <v>33</v>
      </c>
      <c r="AB328" s="38">
        <v>19</v>
      </c>
      <c r="AC328" s="38">
        <v>14</v>
      </c>
      <c r="AD328" s="38">
        <v>1</v>
      </c>
      <c r="AE328" s="38">
        <v>1</v>
      </c>
      <c r="AF328" s="38">
        <v>0</v>
      </c>
      <c r="AG328" s="38">
        <v>0</v>
      </c>
      <c r="AH328" s="38">
        <v>0</v>
      </c>
      <c r="AI328" s="38">
        <v>0</v>
      </c>
      <c r="AJ328" s="38">
        <v>2</v>
      </c>
      <c r="AK328" s="37">
        <v>5.5555555555555554</v>
      </c>
      <c r="AL328" s="40">
        <f t="shared" si="16"/>
        <v>2</v>
      </c>
      <c r="AM328" s="37">
        <f t="shared" si="17"/>
        <v>9.0909090909090917</v>
      </c>
      <c r="AN328" s="40">
        <f t="shared" si="18"/>
        <v>0</v>
      </c>
      <c r="AO328" s="37">
        <f t="shared" si="19"/>
        <v>0</v>
      </c>
      <c r="AP328" s="38">
        <v>57</v>
      </c>
      <c r="AQ328" s="38">
        <v>31</v>
      </c>
      <c r="AR328" s="38">
        <v>26</v>
      </c>
      <c r="AS328" s="38">
        <v>28</v>
      </c>
      <c r="AT328" s="38">
        <v>13</v>
      </c>
      <c r="AU328" s="38">
        <v>15</v>
      </c>
      <c r="AV328" s="38">
        <v>0</v>
      </c>
      <c r="AW328" s="38">
        <v>0</v>
      </c>
      <c r="AX328" s="38">
        <v>0</v>
      </c>
      <c r="AY328" s="38">
        <v>30</v>
      </c>
      <c r="AZ328" s="38">
        <v>20</v>
      </c>
      <c r="BA328" s="38">
        <v>10</v>
      </c>
      <c r="BB328" s="38">
        <v>1</v>
      </c>
      <c r="BC328" s="37">
        <v>3.3333333333333335</v>
      </c>
      <c r="BD328" s="40">
        <v>2</v>
      </c>
      <c r="BE328" s="37">
        <v>10</v>
      </c>
      <c r="BF328" s="40">
        <v>-1</v>
      </c>
      <c r="BG328" s="37">
        <v>-10</v>
      </c>
      <c r="BH328" s="38">
        <v>0</v>
      </c>
      <c r="BI328" s="38">
        <v>0</v>
      </c>
      <c r="BJ328" s="38">
        <v>0</v>
      </c>
      <c r="BK328" s="38">
        <v>0</v>
      </c>
      <c r="BL328" s="42" t="s">
        <v>1860</v>
      </c>
      <c r="BM328" s="37" t="s">
        <v>1860</v>
      </c>
      <c r="BN328" s="37" t="s">
        <v>1860</v>
      </c>
      <c r="BO328" s="38">
        <v>0</v>
      </c>
      <c r="BP328" s="38">
        <v>0</v>
      </c>
      <c r="BQ328" s="38">
        <v>0</v>
      </c>
      <c r="BR328" s="37" t="s">
        <v>1860</v>
      </c>
      <c r="BS328" s="37" t="s">
        <v>1860</v>
      </c>
      <c r="BT328" s="37" t="s">
        <v>1860</v>
      </c>
      <c r="BU328" s="2"/>
      <c r="BV328" s="2"/>
    </row>
    <row r="329" spans="1:74" ht="15.75" x14ac:dyDescent="0.3">
      <c r="A329" s="2" t="s">
        <v>54</v>
      </c>
      <c r="B329" s="2" t="s">
        <v>55</v>
      </c>
      <c r="C329" s="2" t="s">
        <v>105</v>
      </c>
      <c r="D329" s="2" t="s">
        <v>674</v>
      </c>
      <c r="E329" s="2" t="s">
        <v>674</v>
      </c>
      <c r="F329" s="2" t="s">
        <v>739</v>
      </c>
      <c r="G329" s="2" t="s">
        <v>60</v>
      </c>
      <c r="H329" s="2" t="s">
        <v>61</v>
      </c>
      <c r="I329" s="2" t="s">
        <v>62</v>
      </c>
      <c r="J329" s="2" t="s">
        <v>63</v>
      </c>
      <c r="K329" s="2" t="s">
        <v>1832</v>
      </c>
      <c r="L329" s="2" t="s">
        <v>1833</v>
      </c>
      <c r="M329" s="2">
        <v>30</v>
      </c>
      <c r="N329" s="2" t="s">
        <v>1834</v>
      </c>
      <c r="O329" s="2" t="s">
        <v>1835</v>
      </c>
      <c r="P329" s="2" t="s">
        <v>80</v>
      </c>
      <c r="Q329" s="2" t="s">
        <v>69</v>
      </c>
      <c r="R329" s="2" t="s">
        <v>70</v>
      </c>
      <c r="S329" s="2" t="s">
        <v>1836</v>
      </c>
      <c r="T329" s="2" t="s">
        <v>1837</v>
      </c>
      <c r="U329" s="2" t="s">
        <v>1838</v>
      </c>
      <c r="V329" s="2" t="s">
        <v>1837</v>
      </c>
      <c r="W329" s="2" t="s">
        <v>113</v>
      </c>
      <c r="X329" s="38">
        <v>13</v>
      </c>
      <c r="Y329" s="38">
        <v>5</v>
      </c>
      <c r="Z329" s="38">
        <v>8</v>
      </c>
      <c r="AA329" s="38">
        <v>11</v>
      </c>
      <c r="AB329" s="38">
        <v>5</v>
      </c>
      <c r="AC329" s="38">
        <v>6</v>
      </c>
      <c r="AD329" s="38">
        <v>0</v>
      </c>
      <c r="AE329" s="38">
        <v>0</v>
      </c>
      <c r="AF329" s="38">
        <v>0</v>
      </c>
      <c r="AG329" s="38">
        <v>0</v>
      </c>
      <c r="AH329" s="38">
        <v>0</v>
      </c>
      <c r="AI329" s="38">
        <v>0</v>
      </c>
      <c r="AJ329" s="38">
        <v>2</v>
      </c>
      <c r="AK329" s="37">
        <v>15.384615384615385</v>
      </c>
      <c r="AL329" s="40">
        <f t="shared" si="16"/>
        <v>0</v>
      </c>
      <c r="AM329" s="37">
        <f t="shared" si="17"/>
        <v>0</v>
      </c>
      <c r="AN329" s="40">
        <f t="shared" si="18"/>
        <v>2</v>
      </c>
      <c r="AO329" s="37">
        <f t="shared" si="19"/>
        <v>25</v>
      </c>
      <c r="AP329" s="38">
        <v>32</v>
      </c>
      <c r="AQ329" s="38">
        <v>17</v>
      </c>
      <c r="AR329" s="38">
        <v>15</v>
      </c>
      <c r="AS329" s="38">
        <v>20</v>
      </c>
      <c r="AT329" s="38">
        <v>12</v>
      </c>
      <c r="AU329" s="38">
        <v>8</v>
      </c>
      <c r="AV329" s="38">
        <v>0</v>
      </c>
      <c r="AW329" s="38">
        <v>0</v>
      </c>
      <c r="AX329" s="38">
        <v>0</v>
      </c>
      <c r="AY329" s="38">
        <v>15</v>
      </c>
      <c r="AZ329" s="38">
        <v>5</v>
      </c>
      <c r="BA329" s="38">
        <v>10</v>
      </c>
      <c r="BB329" s="38">
        <v>3</v>
      </c>
      <c r="BC329" s="37">
        <v>20</v>
      </c>
      <c r="BD329" s="40">
        <v>0</v>
      </c>
      <c r="BE329" s="37">
        <v>0</v>
      </c>
      <c r="BF329" s="40">
        <v>3</v>
      </c>
      <c r="BG329" s="37">
        <v>30</v>
      </c>
      <c r="BH329" s="38">
        <v>0</v>
      </c>
      <c r="BI329" s="38">
        <v>0</v>
      </c>
      <c r="BJ329" s="38">
        <v>0</v>
      </c>
      <c r="BK329" s="38">
        <v>0</v>
      </c>
      <c r="BL329" s="42" t="s">
        <v>1860</v>
      </c>
      <c r="BM329" s="37" t="s">
        <v>1860</v>
      </c>
      <c r="BN329" s="37" t="s">
        <v>1860</v>
      </c>
      <c r="BO329" s="38">
        <v>0</v>
      </c>
      <c r="BP329" s="38">
        <v>0</v>
      </c>
      <c r="BQ329" s="38">
        <v>0</v>
      </c>
      <c r="BR329" s="37" t="s">
        <v>1860</v>
      </c>
      <c r="BS329" s="37" t="s">
        <v>1860</v>
      </c>
      <c r="BT329" s="37" t="s">
        <v>1860</v>
      </c>
      <c r="BU329" s="2"/>
      <c r="BV329" s="2"/>
    </row>
    <row r="330" spans="1:74" ht="15.75" x14ac:dyDescent="0.3">
      <c r="A330" s="2" t="s">
        <v>54</v>
      </c>
      <c r="B330" s="2" t="s">
        <v>55</v>
      </c>
      <c r="C330" s="2" t="s">
        <v>105</v>
      </c>
      <c r="D330" s="2" t="s">
        <v>674</v>
      </c>
      <c r="E330" s="2" t="s">
        <v>674</v>
      </c>
      <c r="F330" s="2" t="s">
        <v>739</v>
      </c>
      <c r="G330" s="2" t="s">
        <v>60</v>
      </c>
      <c r="H330" s="2" t="s">
        <v>61</v>
      </c>
      <c r="I330" s="2" t="s">
        <v>122</v>
      </c>
      <c r="J330" s="2" t="s">
        <v>740</v>
      </c>
      <c r="K330" s="2" t="s">
        <v>1839</v>
      </c>
      <c r="L330" s="2" t="s">
        <v>1840</v>
      </c>
      <c r="M330" s="2">
        <v>22</v>
      </c>
      <c r="N330" s="2" t="s">
        <v>1841</v>
      </c>
      <c r="O330" s="2" t="s">
        <v>80</v>
      </c>
      <c r="P330" s="2" t="s">
        <v>80</v>
      </c>
      <c r="Q330" s="2" t="s">
        <v>69</v>
      </c>
      <c r="R330" s="2" t="s">
        <v>70</v>
      </c>
      <c r="S330" s="2" t="s">
        <v>1842</v>
      </c>
      <c r="T330" s="2" t="s">
        <v>1843</v>
      </c>
      <c r="U330" s="2" t="s">
        <v>1844</v>
      </c>
      <c r="V330" s="2" t="s">
        <v>1843</v>
      </c>
      <c r="W330" s="2" t="s">
        <v>74</v>
      </c>
      <c r="X330" s="38">
        <v>21</v>
      </c>
      <c r="Y330" s="38">
        <v>6</v>
      </c>
      <c r="Z330" s="38">
        <v>15</v>
      </c>
      <c r="AA330" s="38">
        <v>21</v>
      </c>
      <c r="AB330" s="38">
        <v>6</v>
      </c>
      <c r="AC330" s="38">
        <v>15</v>
      </c>
      <c r="AD330" s="38">
        <v>0</v>
      </c>
      <c r="AE330" s="38">
        <v>0</v>
      </c>
      <c r="AF330" s="38">
        <v>0</v>
      </c>
      <c r="AG330" s="38">
        <v>0</v>
      </c>
      <c r="AH330" s="38">
        <v>0</v>
      </c>
      <c r="AI330" s="38">
        <v>0</v>
      </c>
      <c r="AJ330" s="38">
        <v>0</v>
      </c>
      <c r="AK330" s="37">
        <v>0</v>
      </c>
      <c r="AL330" s="40">
        <f t="shared" si="16"/>
        <v>0</v>
      </c>
      <c r="AM330" s="37">
        <f t="shared" si="17"/>
        <v>0</v>
      </c>
      <c r="AN330" s="40">
        <f t="shared" si="18"/>
        <v>0</v>
      </c>
      <c r="AO330" s="37">
        <f t="shared" si="19"/>
        <v>0</v>
      </c>
      <c r="AP330" s="38">
        <v>47</v>
      </c>
      <c r="AQ330" s="38">
        <v>13</v>
      </c>
      <c r="AR330" s="38">
        <v>34</v>
      </c>
      <c r="AS330" s="38">
        <v>26</v>
      </c>
      <c r="AT330" s="38">
        <v>7</v>
      </c>
      <c r="AU330" s="38">
        <v>19</v>
      </c>
      <c r="AV330" s="38">
        <v>0</v>
      </c>
      <c r="AW330" s="38">
        <v>0</v>
      </c>
      <c r="AX330" s="38">
        <v>0</v>
      </c>
      <c r="AY330" s="38">
        <v>20</v>
      </c>
      <c r="AZ330" s="38">
        <v>6</v>
      </c>
      <c r="BA330" s="38">
        <v>14</v>
      </c>
      <c r="BB330" s="38">
        <v>-1</v>
      </c>
      <c r="BC330" s="37">
        <v>-5</v>
      </c>
      <c r="BD330" s="40">
        <v>0</v>
      </c>
      <c r="BE330" s="37">
        <v>0</v>
      </c>
      <c r="BF330" s="40">
        <v>-1</v>
      </c>
      <c r="BG330" s="37">
        <v>-7.1428571428571423</v>
      </c>
      <c r="BH330" s="38">
        <v>0</v>
      </c>
      <c r="BI330" s="38">
        <v>0</v>
      </c>
      <c r="BJ330" s="38">
        <v>0</v>
      </c>
      <c r="BK330" s="38">
        <v>0</v>
      </c>
      <c r="BL330" s="42" t="s">
        <v>1860</v>
      </c>
      <c r="BM330" s="37" t="s">
        <v>1860</v>
      </c>
      <c r="BN330" s="37" t="s">
        <v>1860</v>
      </c>
      <c r="BO330" s="38">
        <v>0</v>
      </c>
      <c r="BP330" s="38">
        <v>0</v>
      </c>
      <c r="BQ330" s="38">
        <v>0</v>
      </c>
      <c r="BR330" s="37" t="s">
        <v>1860</v>
      </c>
      <c r="BS330" s="37" t="s">
        <v>1860</v>
      </c>
      <c r="BT330" s="37" t="s">
        <v>1860</v>
      </c>
      <c r="BU330" s="2"/>
      <c r="BV330" s="2"/>
    </row>
    <row r="331" spans="1:74" ht="15.75" x14ac:dyDescent="0.3">
      <c r="A331" s="2" t="s">
        <v>54</v>
      </c>
      <c r="B331" s="2" t="s">
        <v>55</v>
      </c>
      <c r="C331" s="2" t="s">
        <v>56</v>
      </c>
      <c r="D331" s="2" t="s">
        <v>674</v>
      </c>
      <c r="E331" s="2" t="s">
        <v>674</v>
      </c>
      <c r="F331" s="2" t="s">
        <v>739</v>
      </c>
      <c r="G331" s="2" t="s">
        <v>60</v>
      </c>
      <c r="H331" s="2" t="s">
        <v>61</v>
      </c>
      <c r="I331" s="2" t="s">
        <v>62</v>
      </c>
      <c r="J331" s="2" t="s">
        <v>1003</v>
      </c>
      <c r="K331" s="2" t="s">
        <v>76</v>
      </c>
      <c r="L331" s="2" t="s">
        <v>1235</v>
      </c>
      <c r="M331" s="2">
        <v>1000</v>
      </c>
      <c r="N331" s="2" t="s">
        <v>1236</v>
      </c>
      <c r="O331" s="2" t="s">
        <v>1845</v>
      </c>
      <c r="P331" s="2" t="s">
        <v>1846</v>
      </c>
      <c r="Q331" s="2" t="s">
        <v>69</v>
      </c>
      <c r="R331" s="2" t="s">
        <v>70</v>
      </c>
      <c r="S331" s="2" t="s">
        <v>1238</v>
      </c>
      <c r="T331" s="2" t="s">
        <v>1239</v>
      </c>
      <c r="U331" s="2" t="s">
        <v>1847</v>
      </c>
      <c r="V331" s="2" t="s">
        <v>1848</v>
      </c>
      <c r="W331" s="2" t="s">
        <v>74</v>
      </c>
      <c r="X331" s="38">
        <v>346</v>
      </c>
      <c r="Y331" s="38">
        <v>164</v>
      </c>
      <c r="Z331" s="38">
        <v>182</v>
      </c>
      <c r="AA331" s="38">
        <v>247</v>
      </c>
      <c r="AB331" s="38">
        <v>96</v>
      </c>
      <c r="AC331" s="38">
        <v>151</v>
      </c>
      <c r="AD331" s="38">
        <v>92</v>
      </c>
      <c r="AE331" s="38">
        <v>62</v>
      </c>
      <c r="AF331" s="38">
        <v>30</v>
      </c>
      <c r="AG331" s="38">
        <v>0</v>
      </c>
      <c r="AH331" s="38">
        <v>0</v>
      </c>
      <c r="AI331" s="38">
        <v>0</v>
      </c>
      <c r="AJ331" s="38">
        <v>7</v>
      </c>
      <c r="AK331" s="37">
        <v>2.0231213872832372</v>
      </c>
      <c r="AL331" s="40">
        <f t="shared" si="16"/>
        <v>6</v>
      </c>
      <c r="AM331" s="37">
        <f t="shared" si="17"/>
        <v>3.6585365853658534</v>
      </c>
      <c r="AN331" s="40">
        <f t="shared" si="18"/>
        <v>1</v>
      </c>
      <c r="AO331" s="37">
        <f t="shared" si="19"/>
        <v>0.5494505494505495</v>
      </c>
      <c r="AP331" s="38">
        <v>708</v>
      </c>
      <c r="AQ331" s="38">
        <v>335</v>
      </c>
      <c r="AR331" s="38">
        <v>373</v>
      </c>
      <c r="AS331" s="38">
        <v>404</v>
      </c>
      <c r="AT331" s="38">
        <v>201</v>
      </c>
      <c r="AU331" s="38">
        <v>203</v>
      </c>
      <c r="AV331" s="38">
        <v>0</v>
      </c>
      <c r="AW331" s="38">
        <v>0</v>
      </c>
      <c r="AX331" s="38">
        <v>0</v>
      </c>
      <c r="AY331" s="38">
        <v>346</v>
      </c>
      <c r="AZ331" s="38">
        <v>164</v>
      </c>
      <c r="BA331" s="38">
        <v>182</v>
      </c>
      <c r="BB331" s="38">
        <v>42</v>
      </c>
      <c r="BC331" s="37">
        <v>12.138728323699421</v>
      </c>
      <c r="BD331" s="40">
        <v>30</v>
      </c>
      <c r="BE331" s="37">
        <v>18.292682926829269</v>
      </c>
      <c r="BF331" s="40">
        <v>12</v>
      </c>
      <c r="BG331" s="37">
        <v>6.593406593406594</v>
      </c>
      <c r="BH331" s="38">
        <v>0</v>
      </c>
      <c r="BI331" s="38">
        <v>0</v>
      </c>
      <c r="BJ331" s="38">
        <v>0</v>
      </c>
      <c r="BK331" s="38">
        <v>0</v>
      </c>
      <c r="BL331" s="42" t="s">
        <v>1860</v>
      </c>
      <c r="BM331" s="37" t="s">
        <v>1860</v>
      </c>
      <c r="BN331" s="37" t="s">
        <v>1860</v>
      </c>
      <c r="BO331" s="38">
        <v>0</v>
      </c>
      <c r="BP331" s="38">
        <v>0</v>
      </c>
      <c r="BQ331" s="38">
        <v>0</v>
      </c>
      <c r="BR331" s="37" t="s">
        <v>1860</v>
      </c>
      <c r="BS331" s="37" t="s">
        <v>1860</v>
      </c>
      <c r="BT331" s="37" t="s">
        <v>1860</v>
      </c>
      <c r="BU331" s="2"/>
      <c r="BV331" s="2"/>
    </row>
    <row r="332" spans="1:74" ht="15.75" x14ac:dyDescent="0.3">
      <c r="A332" s="2" t="s">
        <v>54</v>
      </c>
      <c r="B332" s="2" t="s">
        <v>55</v>
      </c>
      <c r="C332" s="2" t="s">
        <v>56</v>
      </c>
      <c r="D332" s="2" t="s">
        <v>57</v>
      </c>
      <c r="E332" s="2" t="s">
        <v>1331</v>
      </c>
      <c r="F332" s="2" t="s">
        <v>1332</v>
      </c>
      <c r="G332" s="2" t="s">
        <v>186</v>
      </c>
      <c r="H332" s="2" t="s">
        <v>149</v>
      </c>
      <c r="I332" s="2" t="s">
        <v>506</v>
      </c>
      <c r="J332" s="2" t="s">
        <v>1849</v>
      </c>
      <c r="K332" s="2" t="s">
        <v>76</v>
      </c>
      <c r="L332" s="2" t="s">
        <v>1743</v>
      </c>
      <c r="M332" s="2">
        <v>0</v>
      </c>
      <c r="N332" s="2" t="s">
        <v>1335</v>
      </c>
      <c r="O332" s="2" t="s">
        <v>1336</v>
      </c>
      <c r="P332" s="2" t="s">
        <v>1850</v>
      </c>
      <c r="Q332" s="2" t="s">
        <v>69</v>
      </c>
      <c r="R332" s="2" t="s">
        <v>70</v>
      </c>
      <c r="S332" s="2" t="s">
        <v>1851</v>
      </c>
      <c r="T332" s="2" t="s">
        <v>1852</v>
      </c>
      <c r="U332" s="2" t="s">
        <v>1853</v>
      </c>
      <c r="V332" s="2" t="s">
        <v>1852</v>
      </c>
      <c r="W332" s="2" t="s">
        <v>74</v>
      </c>
      <c r="X332" s="38">
        <v>13</v>
      </c>
      <c r="Y332" s="38">
        <v>3</v>
      </c>
      <c r="Z332" s="38">
        <v>10</v>
      </c>
      <c r="AA332" s="38">
        <v>10</v>
      </c>
      <c r="AB332" s="38">
        <v>1</v>
      </c>
      <c r="AC332" s="38">
        <v>9</v>
      </c>
      <c r="AD332" s="38">
        <v>1</v>
      </c>
      <c r="AE332" s="38">
        <v>1</v>
      </c>
      <c r="AF332" s="38">
        <v>0</v>
      </c>
      <c r="AG332" s="38">
        <v>0</v>
      </c>
      <c r="AH332" s="38">
        <v>0</v>
      </c>
      <c r="AI332" s="38">
        <v>0</v>
      </c>
      <c r="AJ332" s="38">
        <v>2</v>
      </c>
      <c r="AK332" s="37">
        <v>15.384615384615385</v>
      </c>
      <c r="AL332" s="40">
        <f t="shared" si="16"/>
        <v>1</v>
      </c>
      <c r="AM332" s="37">
        <f t="shared" si="17"/>
        <v>33.333333333333329</v>
      </c>
      <c r="AN332" s="40">
        <f t="shared" si="18"/>
        <v>1</v>
      </c>
      <c r="AO332" s="37">
        <f t="shared" si="19"/>
        <v>10</v>
      </c>
      <c r="AP332" s="38">
        <v>50</v>
      </c>
      <c r="AQ332" s="38">
        <v>15</v>
      </c>
      <c r="AR332" s="38">
        <v>35</v>
      </c>
      <c r="AS332" s="38">
        <v>35</v>
      </c>
      <c r="AT332" s="38">
        <v>11</v>
      </c>
      <c r="AU332" s="38">
        <v>24</v>
      </c>
      <c r="AV332" s="38">
        <v>0</v>
      </c>
      <c r="AW332" s="38">
        <v>0</v>
      </c>
      <c r="AX332" s="38">
        <v>0</v>
      </c>
      <c r="AY332" s="38">
        <v>13</v>
      </c>
      <c r="AZ332" s="38">
        <v>3</v>
      </c>
      <c r="BA332" s="38">
        <v>10</v>
      </c>
      <c r="BB332" s="38">
        <v>-2</v>
      </c>
      <c r="BC332" s="37">
        <v>-15.384615384615385</v>
      </c>
      <c r="BD332" s="40">
        <v>-1</v>
      </c>
      <c r="BE332" s="37">
        <v>-33.333333333333329</v>
      </c>
      <c r="BF332" s="40">
        <v>-1</v>
      </c>
      <c r="BG332" s="37">
        <v>-10</v>
      </c>
      <c r="BH332" s="38">
        <v>0</v>
      </c>
      <c r="BI332" s="38">
        <v>0</v>
      </c>
      <c r="BJ332" s="38">
        <v>0</v>
      </c>
      <c r="BK332" s="38">
        <v>0</v>
      </c>
      <c r="BL332" s="42" t="s">
        <v>1860</v>
      </c>
      <c r="BM332" s="37" t="s">
        <v>1860</v>
      </c>
      <c r="BN332" s="37" t="s">
        <v>1860</v>
      </c>
      <c r="BO332" s="38">
        <v>0</v>
      </c>
      <c r="BP332" s="38">
        <v>0</v>
      </c>
      <c r="BQ332" s="38">
        <v>0</v>
      </c>
      <c r="BR332" s="37" t="s">
        <v>1860</v>
      </c>
      <c r="BS332" s="37" t="s">
        <v>1860</v>
      </c>
      <c r="BT332" s="37" t="s">
        <v>1860</v>
      </c>
      <c r="BU332" s="2"/>
      <c r="BV332" s="2"/>
    </row>
    <row r="333" spans="1:74" ht="15.75" x14ac:dyDescent="0.3">
      <c r="A333" s="2" t="s">
        <v>54</v>
      </c>
      <c r="B333" s="2" t="s">
        <v>1393</v>
      </c>
      <c r="C333" s="2" t="s">
        <v>1858</v>
      </c>
      <c r="D333" s="2" t="s">
        <v>57</v>
      </c>
      <c r="E333" s="2" t="s">
        <v>95</v>
      </c>
      <c r="F333" s="2" t="s">
        <v>106</v>
      </c>
      <c r="G333" s="2" t="s">
        <v>60</v>
      </c>
      <c r="H333" s="2" t="s">
        <v>61</v>
      </c>
      <c r="I333" s="2" t="s">
        <v>62</v>
      </c>
      <c r="J333" s="2" t="s">
        <v>63</v>
      </c>
      <c r="K333" s="2" t="s">
        <v>1464</v>
      </c>
      <c r="L333" s="2" t="s">
        <v>1465</v>
      </c>
      <c r="M333" s="2">
        <v>0</v>
      </c>
      <c r="N333" s="2" t="s">
        <v>1466</v>
      </c>
      <c r="O333" s="2" t="s">
        <v>1467</v>
      </c>
      <c r="P333" s="2" t="s">
        <v>935</v>
      </c>
      <c r="Q333" s="2" t="s">
        <v>69</v>
      </c>
      <c r="R333" s="2" t="s">
        <v>70</v>
      </c>
      <c r="S333" s="2" t="s">
        <v>1468</v>
      </c>
      <c r="T333" s="2" t="s">
        <v>1469</v>
      </c>
      <c r="U333" s="2" t="s">
        <v>1470</v>
      </c>
      <c r="V333" s="2" t="s">
        <v>1469</v>
      </c>
      <c r="W333" s="2" t="s">
        <v>113</v>
      </c>
      <c r="X333" s="38">
        <v>93</v>
      </c>
      <c r="Y333" s="38">
        <v>74</v>
      </c>
      <c r="Z333" s="38">
        <v>19</v>
      </c>
      <c r="AA333" s="38">
        <v>46</v>
      </c>
      <c r="AB333" s="38">
        <v>33</v>
      </c>
      <c r="AC333" s="38">
        <v>13</v>
      </c>
      <c r="AD333" s="38">
        <v>21</v>
      </c>
      <c r="AE333" s="38">
        <v>17</v>
      </c>
      <c r="AF333" s="38">
        <v>4</v>
      </c>
      <c r="AG333" s="38">
        <v>0</v>
      </c>
      <c r="AH333" s="38">
        <v>0</v>
      </c>
      <c r="AI333" s="38">
        <v>0</v>
      </c>
      <c r="AJ333" s="38">
        <v>26</v>
      </c>
      <c r="AK333" s="37">
        <v>27.956989247311824</v>
      </c>
      <c r="AL333" s="40">
        <f t="shared" si="16"/>
        <v>24</v>
      </c>
      <c r="AM333" s="37">
        <f t="shared" si="17"/>
        <v>32.432432432432435</v>
      </c>
      <c r="AN333" s="40">
        <f t="shared" si="18"/>
        <v>2</v>
      </c>
      <c r="AO333" s="37">
        <f t="shared" si="19"/>
        <v>10.526315789473683</v>
      </c>
      <c r="AP333" s="38">
        <v>105</v>
      </c>
      <c r="AQ333" s="38">
        <v>88</v>
      </c>
      <c r="AR333" s="38">
        <v>17</v>
      </c>
      <c r="AS333" s="38">
        <v>0</v>
      </c>
      <c r="AT333" s="38">
        <v>0</v>
      </c>
      <c r="AU333" s="38">
        <v>0</v>
      </c>
      <c r="AV333" s="38">
        <v>40</v>
      </c>
      <c r="AW333" s="38">
        <v>26</v>
      </c>
      <c r="AX333" s="38">
        <v>14</v>
      </c>
      <c r="AY333" s="38">
        <v>81</v>
      </c>
      <c r="AZ333" s="38">
        <v>63</v>
      </c>
      <c r="BA333" s="38">
        <v>18</v>
      </c>
      <c r="BB333" s="38">
        <v>-64</v>
      </c>
      <c r="BC333" s="37">
        <v>-79.012345679012341</v>
      </c>
      <c r="BD333" s="40">
        <v>-51</v>
      </c>
      <c r="BE333" s="37">
        <v>-80.952380952380949</v>
      </c>
      <c r="BF333" s="40">
        <v>-13</v>
      </c>
      <c r="BG333" s="37">
        <v>-72.222222222222214</v>
      </c>
      <c r="BH333" s="38">
        <v>40</v>
      </c>
      <c r="BI333" s="38">
        <v>39</v>
      </c>
      <c r="BJ333" s="38">
        <v>25</v>
      </c>
      <c r="BK333" s="38">
        <v>14</v>
      </c>
      <c r="BL333" s="37">
        <v>102.56410256410255</v>
      </c>
      <c r="BM333" s="37">
        <v>104</v>
      </c>
      <c r="BN333" s="37">
        <v>100</v>
      </c>
      <c r="BO333" s="38">
        <v>0</v>
      </c>
      <c r="BP333" s="38">
        <v>0</v>
      </c>
      <c r="BQ333" s="38">
        <v>0</v>
      </c>
      <c r="BR333" s="37" t="s">
        <v>1860</v>
      </c>
      <c r="BS333" s="37" t="s">
        <v>1860</v>
      </c>
      <c r="BT333" s="37" t="s">
        <v>1860</v>
      </c>
      <c r="BU333" s="2"/>
      <c r="BV333" s="2"/>
    </row>
    <row r="334" spans="1:74" ht="15.7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3"/>
      <c r="Z334" s="3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38"/>
      <c r="BF334" s="2"/>
      <c r="BG334" s="38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U334" s="2"/>
      <c r="BV334" s="2"/>
    </row>
    <row r="335" spans="1:74" ht="15.7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3"/>
      <c r="Z335" s="3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38"/>
      <c r="BF335" s="2"/>
      <c r="BG335" s="38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U335" s="2"/>
      <c r="BV335" s="2"/>
    </row>
    <row r="336" spans="1:74" ht="15.7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3"/>
      <c r="Z336" s="3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38"/>
      <c r="BF336" s="2"/>
      <c r="BG336" s="38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U336" s="2"/>
      <c r="BV336" s="2"/>
    </row>
    <row r="337" spans="1:74" ht="15.7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3"/>
      <c r="Z337" s="3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38"/>
      <c r="BF337" s="2"/>
      <c r="BG337" s="38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U337" s="2"/>
      <c r="BV337" s="2"/>
    </row>
    <row r="338" spans="1:74" ht="15.7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3"/>
      <c r="Z338" s="3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38"/>
      <c r="BF338" s="2"/>
      <c r="BG338" s="38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U338" s="2"/>
      <c r="BV338" s="2"/>
    </row>
    <row r="339" spans="1:74" ht="15.7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3"/>
      <c r="Z339" s="3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38"/>
      <c r="BF339" s="2"/>
      <c r="BG339" s="38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U339" s="2"/>
      <c r="BV339" s="2"/>
    </row>
    <row r="340" spans="1:74" ht="15.7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3"/>
      <c r="Z340" s="3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38"/>
      <c r="BF340" s="2"/>
      <c r="BG340" s="38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U340" s="2"/>
      <c r="BV340" s="2"/>
    </row>
    <row r="341" spans="1:74" ht="15.7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3"/>
      <c r="Z341" s="3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38"/>
      <c r="BF341" s="2"/>
      <c r="BG341" s="38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U341" s="2"/>
      <c r="BV341" s="2"/>
    </row>
    <row r="342" spans="1:74" ht="15.7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3"/>
      <c r="Z342" s="3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38"/>
      <c r="BF342" s="2"/>
      <c r="BG342" s="38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U342" s="2"/>
      <c r="BV342" s="2"/>
    </row>
    <row r="343" spans="1:74" ht="15.7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3"/>
      <c r="Z343" s="3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38"/>
      <c r="BF343" s="2"/>
      <c r="BG343" s="38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U343" s="2"/>
      <c r="BV343" s="2"/>
    </row>
    <row r="344" spans="1:74" ht="15.7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3"/>
      <c r="Z344" s="3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38"/>
      <c r="BF344" s="2"/>
      <c r="BG344" s="38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U344" s="2"/>
      <c r="BV344" s="2"/>
    </row>
    <row r="345" spans="1:74" ht="15.7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3"/>
      <c r="Z345" s="3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38"/>
      <c r="BF345" s="2"/>
      <c r="BG345" s="38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U345" s="2"/>
      <c r="BV345" s="2"/>
    </row>
    <row r="346" spans="1:74" ht="15.7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3"/>
      <c r="Z346" s="3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38"/>
      <c r="BF346" s="2"/>
      <c r="BG346" s="38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U346" s="2"/>
      <c r="BV346" s="2"/>
    </row>
    <row r="347" spans="1:74" ht="15.7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3"/>
      <c r="Z347" s="3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38"/>
      <c r="BF347" s="2"/>
      <c r="BG347" s="38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U347" s="2"/>
      <c r="BV347" s="2"/>
    </row>
    <row r="348" spans="1:74" ht="15.7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3"/>
      <c r="Z348" s="3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38"/>
      <c r="BF348" s="2"/>
      <c r="BG348" s="38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U348" s="2"/>
      <c r="BV348" s="2"/>
    </row>
    <row r="349" spans="1:74" ht="15.7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3"/>
      <c r="Z349" s="3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38"/>
      <c r="BF349" s="2"/>
      <c r="BG349" s="38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U349" s="2"/>
      <c r="BV349" s="2"/>
    </row>
    <row r="350" spans="1:74" ht="15.7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3"/>
      <c r="Z350" s="3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38"/>
      <c r="BF350" s="2"/>
      <c r="BG350" s="38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U350" s="2"/>
      <c r="BV350" s="2"/>
    </row>
    <row r="351" spans="1:74" ht="15.7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3"/>
      <c r="Z351" s="3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38"/>
      <c r="BF351" s="2"/>
      <c r="BG351" s="38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U351" s="2"/>
      <c r="BV351" s="2"/>
    </row>
    <row r="352" spans="1:74" ht="15.7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3"/>
      <c r="Z352" s="3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38"/>
      <c r="BF352" s="2"/>
      <c r="BG352" s="38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U352" s="2"/>
      <c r="BV352" s="2"/>
    </row>
    <row r="353" spans="1:74" ht="15.7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3"/>
      <c r="Z353" s="3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38"/>
      <c r="BF353" s="2"/>
      <c r="BG353" s="38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U353" s="2"/>
      <c r="BV353" s="2"/>
    </row>
    <row r="354" spans="1:74" ht="15.7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3"/>
      <c r="Z354" s="3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38"/>
      <c r="BF354" s="2"/>
      <c r="BG354" s="38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U354" s="2"/>
      <c r="BV354" s="2"/>
    </row>
    <row r="355" spans="1:74" ht="15.7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3"/>
      <c r="Z355" s="3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38"/>
      <c r="BF355" s="2"/>
      <c r="BG355" s="38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U355" s="2"/>
      <c r="BV355" s="2"/>
    </row>
    <row r="356" spans="1:74" ht="15.7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3"/>
      <c r="Z356" s="3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38"/>
      <c r="BF356" s="2"/>
      <c r="BG356" s="38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U356" s="2"/>
      <c r="BV356" s="2"/>
    </row>
    <row r="357" spans="1:74" ht="15.7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3"/>
      <c r="Z357" s="3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38"/>
      <c r="BF357" s="2"/>
      <c r="BG357" s="38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U357" s="2"/>
      <c r="BV357" s="2"/>
    </row>
    <row r="358" spans="1:74" ht="15.7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3"/>
      <c r="Z358" s="3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38"/>
      <c r="BF358" s="2"/>
      <c r="BG358" s="38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U358" s="2"/>
      <c r="BV358" s="2"/>
    </row>
    <row r="359" spans="1:74" ht="15.7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3"/>
      <c r="Z359" s="3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38"/>
      <c r="BF359" s="2"/>
      <c r="BG359" s="38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U359" s="2"/>
      <c r="BV359" s="2"/>
    </row>
    <row r="360" spans="1:74" ht="15.7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3"/>
      <c r="Z360" s="3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38"/>
      <c r="BF360" s="2"/>
      <c r="BG360" s="38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U360" s="2"/>
      <c r="BV360" s="2"/>
    </row>
    <row r="361" spans="1:74" ht="15.7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3"/>
      <c r="Z361" s="3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38"/>
      <c r="BF361" s="2"/>
      <c r="BG361" s="38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U361" s="2"/>
      <c r="BV361" s="2"/>
    </row>
    <row r="362" spans="1:74" ht="15.7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3"/>
      <c r="Z362" s="3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38"/>
      <c r="BF362" s="2"/>
      <c r="BG362" s="38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U362" s="2"/>
      <c r="BV362" s="2"/>
    </row>
    <row r="363" spans="1:74" ht="15.7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3"/>
      <c r="Z363" s="3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38"/>
      <c r="BF363" s="2"/>
      <c r="BG363" s="38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U363" s="2"/>
      <c r="BV363" s="2"/>
    </row>
    <row r="364" spans="1:74" ht="15.7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3"/>
      <c r="Z364" s="3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38"/>
      <c r="BF364" s="2"/>
      <c r="BG364" s="38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U364" s="2"/>
      <c r="BV364" s="2"/>
    </row>
    <row r="365" spans="1:74" ht="15.7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3"/>
      <c r="Z365" s="3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38"/>
      <c r="BF365" s="2"/>
      <c r="BG365" s="38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U365" s="2"/>
      <c r="BV365" s="2"/>
    </row>
    <row r="366" spans="1:74" ht="15.7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3"/>
      <c r="Z366" s="3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38"/>
      <c r="BF366" s="2"/>
      <c r="BG366" s="38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U366" s="2"/>
      <c r="BV366" s="2"/>
    </row>
    <row r="367" spans="1:74" ht="15.7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3"/>
      <c r="Z367" s="3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38"/>
      <c r="BF367" s="2"/>
      <c r="BG367" s="38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U367" s="2"/>
      <c r="BV367" s="2"/>
    </row>
    <row r="368" spans="1:74" ht="15.7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3"/>
      <c r="Z368" s="3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38"/>
      <c r="BF368" s="2"/>
      <c r="BG368" s="38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U368" s="2"/>
      <c r="BV368" s="2"/>
    </row>
    <row r="369" spans="1:74" ht="15.7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3"/>
      <c r="Z369" s="3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38"/>
      <c r="BF369" s="2"/>
      <c r="BG369" s="38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U369" s="2"/>
      <c r="BV369" s="2"/>
    </row>
    <row r="370" spans="1:74" ht="15.7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3"/>
      <c r="Z370" s="3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38"/>
      <c r="BF370" s="2"/>
      <c r="BG370" s="38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U370" s="2"/>
      <c r="BV370" s="2"/>
    </row>
    <row r="371" spans="1:74" ht="15.7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3"/>
      <c r="Z371" s="3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38"/>
      <c r="BF371" s="2"/>
      <c r="BG371" s="38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U371" s="2"/>
      <c r="BV371" s="2"/>
    </row>
    <row r="372" spans="1:74" ht="15.7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3"/>
      <c r="Z372" s="3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38"/>
      <c r="BF372" s="2"/>
      <c r="BG372" s="38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U372" s="2"/>
      <c r="BV372" s="2"/>
    </row>
    <row r="373" spans="1:74" ht="15.7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3"/>
      <c r="Z373" s="3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38"/>
      <c r="BF373" s="2"/>
      <c r="BG373" s="38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U373" s="2"/>
      <c r="BV373" s="2"/>
    </row>
    <row r="374" spans="1:74" ht="15.7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3"/>
      <c r="Z374" s="3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38"/>
      <c r="BF374" s="2"/>
      <c r="BG374" s="38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U374" s="2"/>
      <c r="BV374" s="2"/>
    </row>
    <row r="375" spans="1:74" ht="15.7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3"/>
      <c r="Z375" s="3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38"/>
      <c r="BF375" s="2"/>
      <c r="BG375" s="38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U375" s="2"/>
      <c r="BV375" s="2"/>
    </row>
    <row r="376" spans="1:74" ht="15.7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3"/>
      <c r="Z376" s="3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38"/>
      <c r="BF376" s="2"/>
      <c r="BG376" s="38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U376" s="2"/>
      <c r="BV376" s="2"/>
    </row>
    <row r="377" spans="1:74" ht="15.7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3"/>
      <c r="Z377" s="3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38"/>
      <c r="BF377" s="2"/>
      <c r="BG377" s="38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U377" s="2"/>
      <c r="BV377" s="2"/>
    </row>
    <row r="378" spans="1:74" ht="15.7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3"/>
      <c r="Z378" s="3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38"/>
      <c r="BF378" s="2"/>
      <c r="BG378" s="38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U378" s="2"/>
      <c r="BV378" s="2"/>
    </row>
    <row r="379" spans="1:74" ht="15.7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3"/>
      <c r="Z379" s="3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38"/>
      <c r="BF379" s="2"/>
      <c r="BG379" s="38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U379" s="2"/>
      <c r="BV379" s="2"/>
    </row>
    <row r="380" spans="1:74" ht="15.7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3"/>
      <c r="Z380" s="3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38"/>
      <c r="BF380" s="2"/>
      <c r="BG380" s="38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U380" s="2"/>
      <c r="BV380" s="2"/>
    </row>
    <row r="381" spans="1:74" ht="15.7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3"/>
      <c r="Z381" s="3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38"/>
      <c r="BF381" s="2"/>
      <c r="BG381" s="38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U381" s="2"/>
      <c r="BV381" s="2"/>
    </row>
    <row r="382" spans="1:74" ht="15.7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3"/>
      <c r="Z382" s="3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38"/>
      <c r="BF382" s="2"/>
      <c r="BG382" s="38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U382" s="2"/>
      <c r="BV382" s="2"/>
    </row>
    <row r="383" spans="1:74" ht="15.7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3"/>
      <c r="Z383" s="3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38"/>
      <c r="BF383" s="2"/>
      <c r="BG383" s="38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U383" s="2"/>
      <c r="BV383" s="2"/>
    </row>
    <row r="384" spans="1:74" ht="15.7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3"/>
      <c r="Z384" s="3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38"/>
      <c r="BF384" s="2"/>
      <c r="BG384" s="38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U384" s="2"/>
      <c r="BV384" s="2"/>
    </row>
    <row r="385" spans="1:74" ht="15.7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3"/>
      <c r="Z385" s="3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38"/>
      <c r="BF385" s="2"/>
      <c r="BG385" s="38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U385" s="2"/>
      <c r="BV385" s="2"/>
    </row>
    <row r="386" spans="1:74" ht="15.7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3"/>
      <c r="Z386" s="3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38"/>
      <c r="BF386" s="2"/>
      <c r="BG386" s="38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U386" s="2"/>
      <c r="BV386" s="2"/>
    </row>
    <row r="387" spans="1:74" ht="15.7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3"/>
      <c r="Z387" s="3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38"/>
      <c r="BF387" s="2"/>
      <c r="BG387" s="38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U387" s="2"/>
      <c r="BV387" s="2"/>
    </row>
    <row r="388" spans="1:74" ht="15.7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3"/>
      <c r="Z388" s="3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38"/>
      <c r="BF388" s="2"/>
      <c r="BG388" s="38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U388" s="2"/>
      <c r="BV388" s="2"/>
    </row>
    <row r="389" spans="1:74" ht="15.7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3"/>
      <c r="Z389" s="3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38"/>
      <c r="BF389" s="2"/>
      <c r="BG389" s="38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U389" s="2"/>
      <c r="BV389" s="2"/>
    </row>
    <row r="390" spans="1:74" ht="15.7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3"/>
      <c r="Z390" s="3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38"/>
      <c r="BF390" s="2"/>
      <c r="BG390" s="38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U390" s="2"/>
      <c r="BV390" s="2"/>
    </row>
    <row r="391" spans="1:74" ht="15.7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3"/>
      <c r="Z391" s="3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38"/>
      <c r="BF391" s="2"/>
      <c r="BG391" s="38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U391" s="2"/>
      <c r="BV391" s="2"/>
    </row>
    <row r="392" spans="1:74" ht="15.7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3"/>
      <c r="Z392" s="3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38"/>
      <c r="BF392" s="2"/>
      <c r="BG392" s="38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U392" s="2"/>
      <c r="BV392" s="2"/>
    </row>
    <row r="393" spans="1:74" ht="15.7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3"/>
      <c r="Z393" s="3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38"/>
      <c r="BF393" s="2"/>
      <c r="BG393" s="38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U393" s="2"/>
      <c r="BV393" s="2"/>
    </row>
    <row r="394" spans="1:74" ht="15.7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3"/>
      <c r="Z394" s="3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38"/>
      <c r="BF394" s="2"/>
      <c r="BG394" s="38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U394" s="2"/>
      <c r="BV394" s="2"/>
    </row>
    <row r="395" spans="1:74" ht="15.7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3"/>
      <c r="Z395" s="3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38"/>
      <c r="BF395" s="2"/>
      <c r="BG395" s="38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U395" s="2"/>
      <c r="BV395" s="2"/>
    </row>
    <row r="396" spans="1:74" ht="15.7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3"/>
      <c r="Z396" s="3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38"/>
      <c r="BF396" s="2"/>
      <c r="BG396" s="38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U396" s="2"/>
      <c r="BV396" s="2"/>
    </row>
    <row r="397" spans="1:74" ht="15.7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3"/>
      <c r="Z397" s="3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38"/>
      <c r="BF397" s="2"/>
      <c r="BG397" s="38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U397" s="2"/>
      <c r="BV397" s="2"/>
    </row>
    <row r="398" spans="1:74" ht="15.7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3"/>
      <c r="Z398" s="3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38"/>
      <c r="BF398" s="2"/>
      <c r="BG398" s="38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U398" s="2"/>
      <c r="BV398" s="2"/>
    </row>
    <row r="399" spans="1:74" ht="15.7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3"/>
      <c r="Z399" s="3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38"/>
      <c r="BF399" s="2"/>
      <c r="BG399" s="38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U399" s="2"/>
      <c r="BV399" s="2"/>
    </row>
    <row r="400" spans="1:74" ht="15.7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3"/>
      <c r="Z400" s="3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38"/>
      <c r="BF400" s="2"/>
      <c r="BG400" s="38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U400" s="2"/>
      <c r="BV400" s="2"/>
    </row>
    <row r="401" spans="1:74" ht="15.7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3"/>
      <c r="Z401" s="3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38"/>
      <c r="BF401" s="2"/>
      <c r="BG401" s="38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U401" s="2"/>
      <c r="BV401" s="2"/>
    </row>
    <row r="402" spans="1:74" ht="15.7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3"/>
      <c r="Z402" s="3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38"/>
      <c r="BF402" s="2"/>
      <c r="BG402" s="38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U402" s="2"/>
      <c r="BV402" s="2"/>
    </row>
    <row r="403" spans="1:74" ht="15.7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3"/>
      <c r="Z403" s="3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38"/>
      <c r="BF403" s="2"/>
      <c r="BG403" s="38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U403" s="2"/>
      <c r="BV403" s="2"/>
    </row>
    <row r="404" spans="1:74" ht="15.7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3"/>
      <c r="Z404" s="3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38"/>
      <c r="BF404" s="2"/>
      <c r="BG404" s="38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U404" s="2"/>
      <c r="BV404" s="2"/>
    </row>
    <row r="405" spans="1:74" ht="15.7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3"/>
      <c r="Z405" s="3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38"/>
      <c r="BF405" s="2"/>
      <c r="BG405" s="38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U405" s="2"/>
      <c r="BV405" s="2"/>
    </row>
    <row r="406" spans="1:74" ht="15.7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3"/>
      <c r="Z406" s="3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38"/>
      <c r="BF406" s="2"/>
      <c r="BG406" s="38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U406" s="2"/>
      <c r="BV406" s="2"/>
    </row>
    <row r="407" spans="1:74" ht="15.7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3"/>
      <c r="Z407" s="3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38"/>
      <c r="BF407" s="2"/>
      <c r="BG407" s="38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U407" s="2"/>
      <c r="BV407" s="2"/>
    </row>
    <row r="408" spans="1:74" ht="15.7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3"/>
      <c r="Z408" s="3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38"/>
      <c r="BF408" s="2"/>
      <c r="BG408" s="38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U408" s="2"/>
      <c r="BV408" s="2"/>
    </row>
    <row r="409" spans="1:74" ht="15.7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3"/>
      <c r="Z409" s="3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38"/>
      <c r="BF409" s="2"/>
      <c r="BG409" s="38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U409" s="2"/>
      <c r="BV409" s="2"/>
    </row>
    <row r="410" spans="1:74" ht="15.7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3"/>
      <c r="Z410" s="3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38"/>
      <c r="BF410" s="2"/>
      <c r="BG410" s="38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U410" s="2"/>
      <c r="BV410" s="2"/>
    </row>
    <row r="411" spans="1:74" ht="15.7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3"/>
      <c r="Z411" s="3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38"/>
      <c r="BF411" s="2"/>
      <c r="BG411" s="38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U411" s="2"/>
      <c r="BV411" s="2"/>
    </row>
    <row r="412" spans="1:74" ht="15.7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3"/>
      <c r="Z412" s="3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38"/>
      <c r="BF412" s="2"/>
      <c r="BG412" s="38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U412" s="2"/>
      <c r="BV412" s="2"/>
    </row>
    <row r="413" spans="1:74" ht="15.7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3"/>
      <c r="Z413" s="3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38"/>
      <c r="BF413" s="2"/>
      <c r="BG413" s="38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U413" s="2"/>
      <c r="BV413" s="2"/>
    </row>
    <row r="414" spans="1:74" ht="15.7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3"/>
      <c r="Z414" s="3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38"/>
      <c r="BF414" s="2"/>
      <c r="BG414" s="38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U414" s="2"/>
      <c r="BV414" s="2"/>
    </row>
    <row r="415" spans="1:74" ht="15.7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3"/>
      <c r="Z415" s="3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38"/>
      <c r="BF415" s="2"/>
      <c r="BG415" s="38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U415" s="2"/>
      <c r="BV415" s="2"/>
    </row>
    <row r="416" spans="1:74" ht="15.7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3"/>
      <c r="Z416" s="3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38"/>
      <c r="BF416" s="2"/>
      <c r="BG416" s="38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U416" s="2"/>
      <c r="BV416" s="2"/>
    </row>
    <row r="417" spans="1:74" ht="15.7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3"/>
      <c r="Z417" s="3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38"/>
      <c r="BF417" s="2"/>
      <c r="BG417" s="38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U417" s="2"/>
      <c r="BV417" s="2"/>
    </row>
    <row r="418" spans="1:74" ht="15.7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3"/>
      <c r="Z418" s="3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38"/>
      <c r="BF418" s="2"/>
      <c r="BG418" s="38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U418" s="2"/>
      <c r="BV418" s="2"/>
    </row>
    <row r="419" spans="1:74" ht="15.7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3"/>
      <c r="Z419" s="3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38"/>
      <c r="BF419" s="2"/>
      <c r="BG419" s="38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U419" s="2"/>
      <c r="BV419" s="2"/>
    </row>
    <row r="420" spans="1:74" ht="15.7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3"/>
      <c r="Z420" s="3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38"/>
      <c r="BF420" s="2"/>
      <c r="BG420" s="38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U420" s="2"/>
      <c r="BV420" s="2"/>
    </row>
    <row r="421" spans="1:74" ht="15.7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3"/>
      <c r="Z421" s="3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38"/>
      <c r="BF421" s="2"/>
      <c r="BG421" s="38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U421" s="2"/>
      <c r="BV421" s="2"/>
    </row>
    <row r="422" spans="1:74" ht="15.7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3"/>
      <c r="Z422" s="3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38"/>
      <c r="BF422" s="2"/>
      <c r="BG422" s="38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U422" s="2"/>
      <c r="BV422" s="2"/>
    </row>
    <row r="423" spans="1:74" ht="15.7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3"/>
      <c r="Z423" s="3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38"/>
      <c r="BF423" s="2"/>
      <c r="BG423" s="38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U423" s="2"/>
      <c r="BV423" s="2"/>
    </row>
    <row r="424" spans="1:74" ht="15.7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3"/>
      <c r="Z424" s="3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38"/>
      <c r="BF424" s="2"/>
      <c r="BG424" s="38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U424" s="2"/>
      <c r="BV424" s="2"/>
    </row>
    <row r="425" spans="1:74" ht="15.7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3"/>
      <c r="Z425" s="3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38"/>
      <c r="BF425" s="2"/>
      <c r="BG425" s="38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U425" s="2"/>
      <c r="BV425" s="2"/>
    </row>
    <row r="426" spans="1:74" ht="15.7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3"/>
      <c r="Z426" s="3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38"/>
      <c r="BF426" s="2"/>
      <c r="BG426" s="38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U426" s="2"/>
      <c r="BV426" s="2"/>
    </row>
    <row r="427" spans="1:74" ht="15.7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3"/>
      <c r="Z427" s="3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38"/>
      <c r="BF427" s="2"/>
      <c r="BG427" s="38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U427" s="2"/>
      <c r="BV427" s="2"/>
    </row>
    <row r="428" spans="1:74" ht="15.7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3"/>
      <c r="Z428" s="3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38"/>
      <c r="BF428" s="2"/>
      <c r="BG428" s="38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U428" s="2"/>
      <c r="BV428" s="2"/>
    </row>
    <row r="429" spans="1:74" ht="15.7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3"/>
      <c r="Z429" s="3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38"/>
      <c r="BF429" s="2"/>
      <c r="BG429" s="38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U429" s="2"/>
      <c r="BV429" s="2"/>
    </row>
    <row r="430" spans="1:74" ht="15.7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3"/>
      <c r="Z430" s="3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38"/>
      <c r="BF430" s="2"/>
      <c r="BG430" s="38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U430" s="2"/>
      <c r="BV430" s="2"/>
    </row>
    <row r="431" spans="1:74" ht="15.7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3"/>
      <c r="Z431" s="3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38"/>
      <c r="BF431" s="2"/>
      <c r="BG431" s="38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U431" s="2"/>
      <c r="BV431" s="2"/>
    </row>
    <row r="432" spans="1:74" ht="15.7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3"/>
      <c r="Z432" s="3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38"/>
      <c r="BF432" s="2"/>
      <c r="BG432" s="38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U432" s="2"/>
      <c r="BV432" s="2"/>
    </row>
    <row r="433" spans="1:74" ht="15.7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3"/>
      <c r="Z433" s="3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38"/>
      <c r="BF433" s="2"/>
      <c r="BG433" s="38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U433" s="2"/>
      <c r="BV433" s="2"/>
    </row>
    <row r="434" spans="1:74" ht="15.7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3"/>
      <c r="Z434" s="3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38"/>
      <c r="BF434" s="2"/>
      <c r="BG434" s="38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U434" s="2"/>
      <c r="BV434" s="2"/>
    </row>
    <row r="435" spans="1:74" ht="15.7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3"/>
      <c r="Z435" s="3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38"/>
      <c r="BF435" s="2"/>
      <c r="BG435" s="38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U435" s="2"/>
      <c r="BV435" s="2"/>
    </row>
    <row r="436" spans="1:74" ht="15.7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3"/>
      <c r="Z436" s="3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38"/>
      <c r="BF436" s="2"/>
      <c r="BG436" s="38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U436" s="2"/>
      <c r="BV436" s="2"/>
    </row>
    <row r="437" spans="1:74" ht="15.7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3"/>
      <c r="Z437" s="3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38"/>
      <c r="BF437" s="2"/>
      <c r="BG437" s="38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U437" s="2"/>
      <c r="BV437" s="2"/>
    </row>
    <row r="438" spans="1:74" ht="15.7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3"/>
      <c r="Z438" s="3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38"/>
      <c r="BF438" s="2"/>
      <c r="BG438" s="38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U438" s="2"/>
      <c r="BV438" s="2"/>
    </row>
    <row r="439" spans="1:74" ht="15.7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3"/>
      <c r="Z439" s="3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38"/>
      <c r="BF439" s="2"/>
      <c r="BG439" s="38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U439" s="2"/>
      <c r="BV439" s="2"/>
    </row>
    <row r="440" spans="1:74" ht="15.7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3"/>
      <c r="Z440" s="3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38"/>
      <c r="BF440" s="2"/>
      <c r="BG440" s="38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U440" s="2"/>
      <c r="BV440" s="2"/>
    </row>
    <row r="441" spans="1:74" ht="15.7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3"/>
      <c r="Z441" s="3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38"/>
      <c r="BF441" s="2"/>
      <c r="BG441" s="38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U441" s="2"/>
      <c r="BV441" s="2"/>
    </row>
    <row r="442" spans="1:74" ht="15.7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3"/>
      <c r="Z442" s="3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38"/>
      <c r="BF442" s="2"/>
      <c r="BG442" s="38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U442" s="2"/>
      <c r="BV442" s="2"/>
    </row>
    <row r="443" spans="1:74" ht="15.7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3"/>
      <c r="Z443" s="3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38"/>
      <c r="BF443" s="2"/>
      <c r="BG443" s="38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U443" s="2"/>
      <c r="BV443" s="2"/>
    </row>
    <row r="444" spans="1:74" ht="15.7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3"/>
      <c r="Z444" s="3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38"/>
      <c r="BF444" s="2"/>
      <c r="BG444" s="38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U444" s="2"/>
      <c r="BV444" s="2"/>
    </row>
    <row r="445" spans="1:74" ht="15.7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3"/>
      <c r="Z445" s="3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38"/>
      <c r="BF445" s="2"/>
      <c r="BG445" s="38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U445" s="2"/>
      <c r="BV445" s="2"/>
    </row>
    <row r="446" spans="1:74" ht="15.7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3"/>
      <c r="Z446" s="3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38"/>
      <c r="BF446" s="2"/>
      <c r="BG446" s="38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U446" s="2"/>
      <c r="BV446" s="2"/>
    </row>
    <row r="447" spans="1:74" ht="15.7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3"/>
      <c r="Z447" s="3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38"/>
      <c r="BF447" s="2"/>
      <c r="BG447" s="38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U447" s="2"/>
      <c r="BV447" s="2"/>
    </row>
    <row r="448" spans="1:74" ht="15.7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3"/>
      <c r="Z448" s="3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38"/>
      <c r="BF448" s="2"/>
      <c r="BG448" s="38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U448" s="2"/>
      <c r="BV448" s="2"/>
    </row>
    <row r="449" spans="1:74" ht="15.7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3"/>
      <c r="Z449" s="3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38"/>
      <c r="BF449" s="2"/>
      <c r="BG449" s="38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U449" s="2"/>
      <c r="BV449" s="2"/>
    </row>
    <row r="450" spans="1:74" ht="15.7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3"/>
      <c r="Z450" s="3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38"/>
      <c r="BF450" s="2"/>
      <c r="BG450" s="38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U450" s="2"/>
      <c r="BV450" s="2"/>
    </row>
    <row r="451" spans="1:74" ht="15.7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3"/>
      <c r="Z451" s="3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38"/>
      <c r="BF451" s="2"/>
      <c r="BG451" s="38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U451" s="2"/>
      <c r="BV451" s="2"/>
    </row>
    <row r="452" spans="1:74" ht="15.7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3"/>
      <c r="Z452" s="3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38"/>
      <c r="BF452" s="2"/>
      <c r="BG452" s="38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U452" s="2"/>
      <c r="BV452" s="2"/>
    </row>
    <row r="453" spans="1:74" ht="15.7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3"/>
      <c r="Z453" s="3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38"/>
      <c r="BF453" s="2"/>
      <c r="BG453" s="38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U453" s="2"/>
      <c r="BV453" s="2"/>
    </row>
    <row r="454" spans="1:74" ht="15.7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3"/>
      <c r="Z454" s="3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38"/>
      <c r="BF454" s="2"/>
      <c r="BG454" s="38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U454" s="2"/>
      <c r="BV454" s="2"/>
    </row>
    <row r="455" spans="1:74" ht="15.7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3"/>
      <c r="Z455" s="3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38"/>
      <c r="BF455" s="2"/>
      <c r="BG455" s="38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U455" s="2"/>
      <c r="BV455" s="2"/>
    </row>
    <row r="456" spans="1:74" ht="15.7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3"/>
      <c r="Z456" s="3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38"/>
      <c r="BF456" s="2"/>
      <c r="BG456" s="38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U456" s="2"/>
      <c r="BV456" s="2"/>
    </row>
    <row r="457" spans="1:74" ht="15.7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3"/>
      <c r="Z457" s="3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38"/>
      <c r="BF457" s="2"/>
      <c r="BG457" s="38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U457" s="2"/>
      <c r="BV457" s="2"/>
    </row>
    <row r="458" spans="1:74" ht="15.7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3"/>
      <c r="Z458" s="3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38"/>
      <c r="BF458" s="2"/>
      <c r="BG458" s="38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U458" s="2"/>
      <c r="BV458" s="2"/>
    </row>
    <row r="459" spans="1:74" ht="15.7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3"/>
      <c r="Z459" s="3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38"/>
      <c r="BF459" s="2"/>
      <c r="BG459" s="38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U459" s="2"/>
      <c r="BV459" s="2"/>
    </row>
    <row r="460" spans="1:74" ht="15.7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3"/>
      <c r="Z460" s="3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38"/>
      <c r="BF460" s="2"/>
      <c r="BG460" s="38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U460" s="2"/>
      <c r="BV460" s="2"/>
    </row>
    <row r="461" spans="1:74" ht="15.7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3"/>
      <c r="Z461" s="3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38"/>
      <c r="BF461" s="2"/>
      <c r="BG461" s="38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U461" s="2"/>
      <c r="BV461" s="2"/>
    </row>
    <row r="462" spans="1:74" ht="15.7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3"/>
      <c r="Z462" s="3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38"/>
      <c r="BF462" s="2"/>
      <c r="BG462" s="38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U462" s="2"/>
      <c r="BV462" s="2"/>
    </row>
    <row r="463" spans="1:74" ht="15.7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3"/>
      <c r="Z463" s="3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38"/>
      <c r="BF463" s="2"/>
      <c r="BG463" s="38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U463" s="2"/>
      <c r="BV463" s="2"/>
    </row>
    <row r="464" spans="1:74" ht="15.7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3"/>
      <c r="Z464" s="3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38"/>
      <c r="BF464" s="2"/>
      <c r="BG464" s="38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U464" s="2"/>
      <c r="BV464" s="2"/>
    </row>
    <row r="465" spans="1:74" ht="15.7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3"/>
      <c r="Z465" s="3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38"/>
      <c r="BF465" s="2"/>
      <c r="BG465" s="38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U465" s="2"/>
      <c r="BV465" s="2"/>
    </row>
    <row r="466" spans="1:74" ht="15.7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3"/>
      <c r="Z466" s="3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38"/>
      <c r="BF466" s="2"/>
      <c r="BG466" s="38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U466" s="2"/>
      <c r="BV466" s="2"/>
    </row>
    <row r="467" spans="1:74" ht="15.7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3"/>
      <c r="Z467" s="3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38"/>
      <c r="BF467" s="2"/>
      <c r="BG467" s="38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U467" s="2"/>
      <c r="BV467" s="2"/>
    </row>
    <row r="468" spans="1:74" ht="15.7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3"/>
      <c r="Z468" s="3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38"/>
      <c r="BF468" s="2"/>
      <c r="BG468" s="38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U468" s="2"/>
      <c r="BV468" s="2"/>
    </row>
    <row r="469" spans="1:74" ht="15.7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3"/>
      <c r="Z469" s="3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38"/>
      <c r="BF469" s="2"/>
      <c r="BG469" s="38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U469" s="2"/>
      <c r="BV469" s="2"/>
    </row>
    <row r="470" spans="1:74" ht="15.7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3"/>
      <c r="Z470" s="3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38"/>
      <c r="BF470" s="2"/>
      <c r="BG470" s="38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U470" s="2"/>
      <c r="BV470" s="2"/>
    </row>
    <row r="471" spans="1:74" ht="15.7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3"/>
      <c r="Z471" s="3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38"/>
      <c r="BF471" s="2"/>
      <c r="BG471" s="38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U471" s="2"/>
      <c r="BV471" s="2"/>
    </row>
    <row r="472" spans="1:74" ht="15.7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3"/>
      <c r="Z472" s="3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38"/>
      <c r="BF472" s="2"/>
      <c r="BG472" s="38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U472" s="2"/>
      <c r="BV472" s="2"/>
    </row>
    <row r="473" spans="1:74" ht="15.7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3"/>
      <c r="Z473" s="3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38"/>
      <c r="BF473" s="2"/>
      <c r="BG473" s="38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U473" s="2"/>
      <c r="BV473" s="2"/>
    </row>
    <row r="474" spans="1:74" ht="15.7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3"/>
      <c r="Z474" s="3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38"/>
      <c r="BF474" s="2"/>
      <c r="BG474" s="38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U474" s="2"/>
      <c r="BV474" s="2"/>
    </row>
    <row r="475" spans="1:74" ht="15.7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3"/>
      <c r="Z475" s="3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38"/>
      <c r="BF475" s="2"/>
      <c r="BG475" s="38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U475" s="2"/>
      <c r="BV475" s="2"/>
    </row>
    <row r="476" spans="1:74" ht="15.7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3"/>
      <c r="Z476" s="3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38"/>
      <c r="BF476" s="2"/>
      <c r="BG476" s="38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U476" s="2"/>
      <c r="BV476" s="2"/>
    </row>
    <row r="477" spans="1:74" ht="15.7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3"/>
      <c r="Z477" s="3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38"/>
      <c r="BF477" s="2"/>
      <c r="BG477" s="38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U477" s="2"/>
      <c r="BV477" s="2"/>
    </row>
    <row r="478" spans="1:74" ht="15.7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3"/>
      <c r="Z478" s="3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38"/>
      <c r="BF478" s="2"/>
      <c r="BG478" s="38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U478" s="2"/>
      <c r="BV478" s="2"/>
    </row>
    <row r="479" spans="1:74" ht="15.7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3"/>
      <c r="Z479" s="3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38"/>
      <c r="BF479" s="2"/>
      <c r="BG479" s="38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U479" s="2"/>
      <c r="BV479" s="2"/>
    </row>
    <row r="480" spans="1:74" ht="15.7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3"/>
      <c r="Z480" s="3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38"/>
      <c r="BF480" s="2"/>
      <c r="BG480" s="38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U480" s="2"/>
      <c r="BV480" s="2"/>
    </row>
    <row r="481" spans="1:74" ht="15.7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3"/>
      <c r="Z481" s="3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38"/>
      <c r="BF481" s="2"/>
      <c r="BG481" s="38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U481" s="2"/>
      <c r="BV481" s="2"/>
    </row>
    <row r="482" spans="1:74" ht="15.7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3"/>
      <c r="Z482" s="3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38"/>
      <c r="BF482" s="2"/>
      <c r="BG482" s="38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U482" s="2"/>
      <c r="BV482" s="2"/>
    </row>
    <row r="483" spans="1:74" ht="15.7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3"/>
      <c r="Z483" s="3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38"/>
      <c r="BF483" s="2"/>
      <c r="BG483" s="38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U483" s="2"/>
      <c r="BV483" s="2"/>
    </row>
    <row r="484" spans="1:74" ht="15.7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3"/>
      <c r="Z484" s="3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38"/>
      <c r="BF484" s="2"/>
      <c r="BG484" s="38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U484" s="2"/>
      <c r="BV484" s="2"/>
    </row>
    <row r="485" spans="1:74" ht="15.7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3"/>
      <c r="Z485" s="3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38"/>
      <c r="BF485" s="2"/>
      <c r="BG485" s="38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U485" s="2"/>
      <c r="BV485" s="2"/>
    </row>
    <row r="486" spans="1:74" ht="15.7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3"/>
      <c r="Z486" s="3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38"/>
      <c r="BF486" s="2"/>
      <c r="BG486" s="38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U486" s="2"/>
      <c r="BV486" s="2"/>
    </row>
    <row r="487" spans="1:74" ht="15.7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3"/>
      <c r="Z487" s="3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38"/>
      <c r="BF487" s="2"/>
      <c r="BG487" s="38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U487" s="2"/>
      <c r="BV487" s="2"/>
    </row>
    <row r="488" spans="1:74" ht="15.7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3"/>
      <c r="Z488" s="3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38"/>
      <c r="BF488" s="2"/>
      <c r="BG488" s="38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U488" s="2"/>
      <c r="BV488" s="2"/>
    </row>
    <row r="489" spans="1:74" ht="15.7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3"/>
      <c r="Z489" s="3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38"/>
      <c r="BF489" s="2"/>
      <c r="BG489" s="38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U489" s="2"/>
      <c r="BV489" s="2"/>
    </row>
    <row r="490" spans="1:74" ht="15.7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3"/>
      <c r="Z490" s="3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38"/>
      <c r="BF490" s="2"/>
      <c r="BG490" s="38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U490" s="2"/>
      <c r="BV490" s="2"/>
    </row>
    <row r="491" spans="1:74" ht="15.7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3"/>
      <c r="Z491" s="3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38"/>
      <c r="BF491" s="2"/>
      <c r="BG491" s="38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U491" s="2"/>
      <c r="BV491" s="2"/>
    </row>
    <row r="492" spans="1:74" ht="15.7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3"/>
      <c r="Z492" s="3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38"/>
      <c r="BF492" s="2"/>
      <c r="BG492" s="38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U492" s="2"/>
      <c r="BV492" s="2"/>
    </row>
    <row r="493" spans="1:74" ht="15.7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3"/>
      <c r="Z493" s="3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38"/>
      <c r="BF493" s="2"/>
      <c r="BG493" s="38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U493" s="2"/>
      <c r="BV493" s="2"/>
    </row>
    <row r="494" spans="1:74" ht="15.7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3"/>
      <c r="Z494" s="3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38"/>
      <c r="BF494" s="2"/>
      <c r="BG494" s="38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U494" s="2"/>
      <c r="BV494" s="2"/>
    </row>
    <row r="495" spans="1:74" ht="15.7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3"/>
      <c r="Z495" s="3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38"/>
      <c r="BF495" s="2"/>
      <c r="BG495" s="38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U495" s="2"/>
      <c r="BV495" s="2"/>
    </row>
    <row r="496" spans="1:74" ht="15.7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3"/>
      <c r="Z496" s="3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38"/>
      <c r="BF496" s="2"/>
      <c r="BG496" s="38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U496" s="2"/>
      <c r="BV496" s="2"/>
    </row>
    <row r="497" spans="1:74" ht="15.7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3"/>
      <c r="Z497" s="3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38"/>
      <c r="BF497" s="2"/>
      <c r="BG497" s="38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U497" s="2"/>
      <c r="BV497" s="2"/>
    </row>
    <row r="498" spans="1:74" ht="15.7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3"/>
      <c r="Z498" s="3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38"/>
      <c r="BF498" s="2"/>
      <c r="BG498" s="38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U498" s="2"/>
      <c r="BV498" s="2"/>
    </row>
    <row r="499" spans="1:74" ht="15.7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3"/>
      <c r="Z499" s="3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38"/>
      <c r="BF499" s="2"/>
      <c r="BG499" s="38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U499" s="2"/>
      <c r="BV499" s="2"/>
    </row>
    <row r="500" spans="1:74" ht="15.7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3"/>
      <c r="Z500" s="3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38"/>
      <c r="BF500" s="2"/>
      <c r="BG500" s="38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U500" s="2"/>
      <c r="BV500" s="2"/>
    </row>
    <row r="501" spans="1:74" ht="15.7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3"/>
      <c r="Z501" s="3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38"/>
      <c r="BF501" s="2"/>
      <c r="BG501" s="38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U501" s="2"/>
      <c r="BV501" s="2"/>
    </row>
    <row r="502" spans="1:74" ht="15.7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3"/>
      <c r="Z502" s="3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38"/>
      <c r="BF502" s="2"/>
      <c r="BG502" s="38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U502" s="2"/>
      <c r="BV502" s="2"/>
    </row>
    <row r="503" spans="1:74" ht="15.7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3"/>
      <c r="Z503" s="3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38"/>
      <c r="BF503" s="2"/>
      <c r="BG503" s="38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U503" s="2"/>
      <c r="BV503" s="2"/>
    </row>
    <row r="504" spans="1:74" ht="15.7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3"/>
      <c r="Z504" s="3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38"/>
      <c r="BF504" s="2"/>
      <c r="BG504" s="38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U504" s="2"/>
      <c r="BV504" s="2"/>
    </row>
    <row r="505" spans="1:74" ht="15.7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3"/>
      <c r="Z505" s="3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38"/>
      <c r="BF505" s="2"/>
      <c r="BG505" s="38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U505" s="2"/>
      <c r="BV505" s="2"/>
    </row>
    <row r="506" spans="1:74" ht="15.7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3"/>
      <c r="Z506" s="3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38"/>
      <c r="BF506" s="2"/>
      <c r="BG506" s="38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U506" s="2"/>
      <c r="BV506" s="2"/>
    </row>
    <row r="507" spans="1:74" ht="15.7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3"/>
      <c r="Z507" s="3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38"/>
      <c r="BF507" s="2"/>
      <c r="BG507" s="38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U507" s="2"/>
      <c r="BV507" s="2"/>
    </row>
    <row r="508" spans="1:74" ht="15.7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3"/>
      <c r="Z508" s="3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38"/>
      <c r="BF508" s="2"/>
      <c r="BG508" s="38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U508" s="2"/>
      <c r="BV508" s="2"/>
    </row>
    <row r="509" spans="1:74" ht="15.7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3"/>
      <c r="Z509" s="3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38"/>
      <c r="BF509" s="2"/>
      <c r="BG509" s="38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U509" s="2"/>
      <c r="BV509" s="2"/>
    </row>
    <row r="510" spans="1:74" ht="15.7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3"/>
      <c r="Z510" s="3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38"/>
      <c r="BF510" s="2"/>
      <c r="BG510" s="38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U510" s="2"/>
      <c r="BV510" s="2"/>
    </row>
    <row r="511" spans="1:74" ht="15.7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3"/>
      <c r="Z511" s="3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38"/>
      <c r="BF511" s="2"/>
      <c r="BG511" s="38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U511" s="2"/>
      <c r="BV511" s="2"/>
    </row>
    <row r="512" spans="1:74" ht="15.7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3"/>
      <c r="Z512" s="3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38"/>
      <c r="BF512" s="2"/>
      <c r="BG512" s="38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U512" s="2"/>
      <c r="BV512" s="2"/>
    </row>
    <row r="513" spans="1:74" ht="15.7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3"/>
      <c r="Z513" s="3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38"/>
      <c r="BF513" s="2"/>
      <c r="BG513" s="38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U513" s="2"/>
      <c r="BV513" s="2"/>
    </row>
    <row r="514" spans="1:74" ht="15.7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3"/>
      <c r="Z514" s="3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38"/>
      <c r="BF514" s="2"/>
      <c r="BG514" s="38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U514" s="2"/>
      <c r="BV514" s="2"/>
    </row>
    <row r="515" spans="1:74" ht="15.7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3"/>
      <c r="Z515" s="3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38"/>
      <c r="BF515" s="2"/>
      <c r="BG515" s="38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U515" s="2"/>
      <c r="BV515" s="2"/>
    </row>
    <row r="516" spans="1:74" ht="15.7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3"/>
      <c r="Z516" s="3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38"/>
      <c r="BF516" s="2"/>
      <c r="BG516" s="38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U516" s="2"/>
      <c r="BV516" s="2"/>
    </row>
    <row r="517" spans="1:74" ht="15.7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3"/>
      <c r="Z517" s="3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38"/>
      <c r="BF517" s="2"/>
      <c r="BG517" s="38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U517" s="2"/>
      <c r="BV517" s="2"/>
    </row>
    <row r="518" spans="1:74" ht="15.7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3"/>
      <c r="Z518" s="3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38"/>
      <c r="BF518" s="2"/>
      <c r="BG518" s="38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U518" s="2"/>
      <c r="BV518" s="2"/>
    </row>
    <row r="519" spans="1:74" ht="15.7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3"/>
      <c r="Z519" s="3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38"/>
      <c r="BF519" s="2"/>
      <c r="BG519" s="38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U519" s="2"/>
      <c r="BV519" s="2"/>
    </row>
    <row r="520" spans="1:74" ht="15.7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3"/>
      <c r="Z520" s="3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38"/>
      <c r="BF520" s="2"/>
      <c r="BG520" s="38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U520" s="2"/>
      <c r="BV520" s="2"/>
    </row>
    <row r="521" spans="1:74" ht="15.7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3"/>
      <c r="Z521" s="3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38"/>
      <c r="BF521" s="2"/>
      <c r="BG521" s="38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U521" s="2"/>
      <c r="BV521" s="2"/>
    </row>
    <row r="522" spans="1:74" ht="15.7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3"/>
      <c r="Z522" s="3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38"/>
      <c r="BF522" s="2"/>
      <c r="BG522" s="38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U522" s="2"/>
      <c r="BV522" s="2"/>
    </row>
    <row r="523" spans="1:74" ht="15.7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3"/>
      <c r="Z523" s="3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38"/>
      <c r="BF523" s="2"/>
      <c r="BG523" s="38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U523" s="2"/>
      <c r="BV523" s="2"/>
    </row>
    <row r="524" spans="1:74" ht="15.7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3"/>
      <c r="Z524" s="3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38"/>
      <c r="BF524" s="2"/>
      <c r="BG524" s="38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U524" s="2"/>
      <c r="BV524" s="2"/>
    </row>
    <row r="525" spans="1:74" ht="15.7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3"/>
      <c r="Z525" s="3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38"/>
      <c r="BF525" s="2"/>
      <c r="BG525" s="38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U525" s="2"/>
      <c r="BV525" s="2"/>
    </row>
    <row r="526" spans="1:74" ht="15.7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3"/>
      <c r="Z526" s="3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38"/>
      <c r="BF526" s="2"/>
      <c r="BG526" s="38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U526" s="2"/>
      <c r="BV526" s="2"/>
    </row>
    <row r="527" spans="1:74" ht="15.7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3"/>
      <c r="Z527" s="3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38"/>
      <c r="BF527" s="2"/>
      <c r="BG527" s="38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U527" s="2"/>
      <c r="BV527" s="2"/>
    </row>
    <row r="528" spans="1:74" ht="15.7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3"/>
      <c r="Z528" s="3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38"/>
      <c r="BF528" s="2"/>
      <c r="BG528" s="38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U528" s="2"/>
      <c r="BV528" s="2"/>
    </row>
    <row r="529" spans="1:74" ht="15.7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3"/>
      <c r="Z529" s="3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38"/>
      <c r="BF529" s="2"/>
      <c r="BG529" s="38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U529" s="2"/>
      <c r="BV529" s="2"/>
    </row>
    <row r="530" spans="1:74" ht="15.7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3"/>
      <c r="Z530" s="3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38"/>
      <c r="BF530" s="2"/>
      <c r="BG530" s="38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U530" s="2"/>
      <c r="BV530" s="2"/>
    </row>
    <row r="531" spans="1:74" ht="15.7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3"/>
      <c r="Z531" s="3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38"/>
      <c r="BF531" s="2"/>
      <c r="BG531" s="38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U531" s="2"/>
      <c r="BV531" s="2"/>
    </row>
    <row r="532" spans="1:74" ht="15.7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3"/>
      <c r="Z532" s="3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38"/>
      <c r="BF532" s="2"/>
      <c r="BG532" s="38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U532" s="2"/>
      <c r="BV532" s="2"/>
    </row>
    <row r="533" spans="1:74" ht="15.7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3"/>
      <c r="Z533" s="3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38"/>
      <c r="BF533" s="2"/>
      <c r="BG533" s="38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U533" s="2"/>
      <c r="BV533" s="2"/>
    </row>
    <row r="534" spans="1:74" ht="15.7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3"/>
      <c r="Z534" s="3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38"/>
      <c r="BF534" s="2"/>
      <c r="BG534" s="38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U534" s="2"/>
      <c r="BV534" s="2"/>
    </row>
    <row r="535" spans="1:74" ht="15.7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3"/>
      <c r="Z535" s="3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38"/>
      <c r="BF535" s="2"/>
      <c r="BG535" s="38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U535" s="2"/>
      <c r="BV535" s="2"/>
    </row>
    <row r="536" spans="1:74" ht="15.7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3"/>
      <c r="Z536" s="3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38"/>
      <c r="BF536" s="2"/>
      <c r="BG536" s="38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U536" s="2"/>
      <c r="BV536" s="2"/>
    </row>
    <row r="537" spans="1:74" ht="15.7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3"/>
      <c r="Z537" s="3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38"/>
      <c r="BF537" s="2"/>
      <c r="BG537" s="38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U537" s="2"/>
      <c r="BV537" s="2"/>
    </row>
    <row r="538" spans="1:74" ht="15.7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3"/>
      <c r="Z538" s="3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38"/>
      <c r="BF538" s="2"/>
      <c r="BG538" s="38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U538" s="2"/>
      <c r="BV538" s="2"/>
    </row>
    <row r="539" spans="1:74" ht="15.7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3"/>
      <c r="Z539" s="3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38"/>
      <c r="BF539" s="2"/>
      <c r="BG539" s="38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U539" s="2"/>
      <c r="BV539" s="2"/>
    </row>
    <row r="540" spans="1:74" ht="15.7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3"/>
      <c r="Z540" s="3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38"/>
      <c r="BF540" s="2"/>
      <c r="BG540" s="38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U540" s="2"/>
      <c r="BV540" s="2"/>
    </row>
    <row r="541" spans="1:74" ht="15.7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3"/>
      <c r="Z541" s="3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38"/>
      <c r="BF541" s="2"/>
      <c r="BG541" s="38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U541" s="2"/>
      <c r="BV541" s="2"/>
    </row>
    <row r="542" spans="1:74" ht="15.7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3"/>
      <c r="Z542" s="3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38"/>
      <c r="BF542" s="2"/>
      <c r="BG542" s="38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U542" s="2"/>
      <c r="BV542" s="2"/>
    </row>
    <row r="543" spans="1:74" ht="15.7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3"/>
      <c r="Z543" s="3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38"/>
      <c r="BF543" s="2"/>
      <c r="BG543" s="38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U543" s="2"/>
      <c r="BV543" s="2"/>
    </row>
    <row r="544" spans="1:74" ht="15.7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3"/>
      <c r="Z544" s="3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38"/>
      <c r="BF544" s="2"/>
      <c r="BG544" s="38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U544" s="2"/>
      <c r="BV544" s="2"/>
    </row>
    <row r="545" spans="1:74" ht="15.7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3"/>
      <c r="Z545" s="3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38"/>
      <c r="BF545" s="2"/>
      <c r="BG545" s="38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U545" s="2"/>
      <c r="BV545" s="2"/>
    </row>
    <row r="546" spans="1:74" ht="15.7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3"/>
      <c r="Z546" s="3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38"/>
      <c r="BF546" s="2"/>
      <c r="BG546" s="38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U546" s="2"/>
      <c r="BV546" s="2"/>
    </row>
    <row r="547" spans="1:74" ht="15.7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3"/>
      <c r="Z547" s="3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38"/>
      <c r="BF547" s="2"/>
      <c r="BG547" s="38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U547" s="2"/>
      <c r="BV547" s="2"/>
    </row>
    <row r="548" spans="1:74" ht="15.7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3"/>
      <c r="Z548" s="3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38"/>
      <c r="BF548" s="2"/>
      <c r="BG548" s="38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U548" s="2"/>
      <c r="BV548" s="2"/>
    </row>
    <row r="549" spans="1:74" ht="15.7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3"/>
      <c r="Z549" s="3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38"/>
      <c r="BF549" s="2"/>
      <c r="BG549" s="38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U549" s="2"/>
      <c r="BV549" s="2"/>
    </row>
    <row r="550" spans="1:74" ht="15.7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3"/>
      <c r="Z550" s="3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38"/>
      <c r="BF550" s="2"/>
      <c r="BG550" s="38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U550" s="2"/>
      <c r="BV550" s="2"/>
    </row>
    <row r="551" spans="1:74" ht="15.7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3"/>
      <c r="Z551" s="3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38"/>
      <c r="BF551" s="2"/>
      <c r="BG551" s="38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U551" s="2"/>
      <c r="BV551" s="2"/>
    </row>
    <row r="552" spans="1:74" ht="15.7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3"/>
      <c r="Z552" s="3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38"/>
      <c r="BF552" s="2"/>
      <c r="BG552" s="38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U552" s="2"/>
      <c r="BV552" s="2"/>
    </row>
    <row r="553" spans="1:74" ht="15.7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3"/>
      <c r="Z553" s="3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38"/>
      <c r="BF553" s="2"/>
      <c r="BG553" s="38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U553" s="2"/>
      <c r="BV553" s="2"/>
    </row>
    <row r="554" spans="1:74" ht="15.7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3"/>
      <c r="Z554" s="3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38"/>
      <c r="BF554" s="2"/>
      <c r="BG554" s="38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U554" s="2"/>
      <c r="BV554" s="2"/>
    </row>
    <row r="555" spans="1:74" ht="15.7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3"/>
      <c r="Z555" s="3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38"/>
      <c r="BF555" s="2"/>
      <c r="BG555" s="38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U555" s="2"/>
      <c r="BV555" s="2"/>
    </row>
    <row r="556" spans="1:74" ht="15.7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3"/>
      <c r="Z556" s="3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38"/>
      <c r="BF556" s="2"/>
      <c r="BG556" s="38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U556" s="2"/>
      <c r="BV556" s="2"/>
    </row>
    <row r="557" spans="1:74" ht="15.7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3"/>
      <c r="Z557" s="3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38"/>
      <c r="BF557" s="2"/>
      <c r="BG557" s="38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U557" s="2"/>
      <c r="BV557" s="2"/>
    </row>
    <row r="558" spans="1:74" ht="15.7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3"/>
      <c r="Z558" s="3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38"/>
      <c r="BF558" s="2"/>
      <c r="BG558" s="38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U558" s="2"/>
      <c r="BV558" s="2"/>
    </row>
    <row r="559" spans="1:74" ht="15.75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3"/>
      <c r="Z559" s="3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38"/>
      <c r="BF559" s="2"/>
      <c r="BG559" s="38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U559" s="2"/>
      <c r="BV559" s="2"/>
    </row>
    <row r="560" spans="1:74" ht="15.75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3"/>
      <c r="Z560" s="3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38"/>
      <c r="BF560" s="2"/>
      <c r="BG560" s="38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U560" s="2"/>
      <c r="BV560" s="2"/>
    </row>
    <row r="561" spans="1:74" ht="15.75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3"/>
      <c r="Z561" s="3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38"/>
      <c r="BF561" s="2"/>
      <c r="BG561" s="38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U561" s="2"/>
      <c r="BV561" s="2"/>
    </row>
    <row r="562" spans="1:74" ht="15.75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3"/>
      <c r="Z562" s="3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38"/>
      <c r="BF562" s="2"/>
      <c r="BG562" s="38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U562" s="2"/>
      <c r="BV562" s="2"/>
    </row>
    <row r="563" spans="1:74" ht="15.75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3"/>
      <c r="Z563" s="3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38"/>
      <c r="BF563" s="2"/>
      <c r="BG563" s="38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U563" s="2"/>
      <c r="BV563" s="2"/>
    </row>
    <row r="564" spans="1:74" ht="15.75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3"/>
      <c r="Z564" s="3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38"/>
      <c r="BF564" s="2"/>
      <c r="BG564" s="38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U564" s="2"/>
      <c r="BV564" s="2"/>
    </row>
    <row r="565" spans="1:74" ht="15.75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3"/>
      <c r="Z565" s="3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38"/>
      <c r="BF565" s="2"/>
      <c r="BG565" s="38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U565" s="2"/>
      <c r="BV565" s="2"/>
    </row>
    <row r="566" spans="1:74" ht="15.7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3"/>
      <c r="Z566" s="3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38"/>
      <c r="BF566" s="2"/>
      <c r="BG566" s="38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U566" s="2"/>
      <c r="BV566" s="2"/>
    </row>
    <row r="567" spans="1:74" ht="15.75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3"/>
      <c r="Z567" s="3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38"/>
      <c r="BF567" s="2"/>
      <c r="BG567" s="38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U567" s="2"/>
      <c r="BV567" s="2"/>
    </row>
    <row r="568" spans="1:74" ht="15.75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3"/>
      <c r="Z568" s="3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38"/>
      <c r="BF568" s="2"/>
      <c r="BG568" s="38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U568" s="2"/>
      <c r="BV568" s="2"/>
    </row>
    <row r="569" spans="1:74" ht="15.75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3"/>
      <c r="Z569" s="3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38"/>
      <c r="BF569" s="2"/>
      <c r="BG569" s="38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U569" s="2"/>
      <c r="BV569" s="2"/>
    </row>
    <row r="570" spans="1:74" ht="15.75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3"/>
      <c r="Z570" s="3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38"/>
      <c r="BF570" s="2"/>
      <c r="BG570" s="38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U570" s="2"/>
      <c r="BV570" s="2"/>
    </row>
    <row r="571" spans="1:74" ht="15.75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3"/>
      <c r="Z571" s="3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38"/>
      <c r="BF571" s="2"/>
      <c r="BG571" s="38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U571" s="2"/>
      <c r="BV571" s="2"/>
    </row>
    <row r="572" spans="1:74" ht="15.75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3"/>
      <c r="Z572" s="3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38"/>
      <c r="BF572" s="2"/>
      <c r="BG572" s="38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U572" s="2"/>
      <c r="BV572" s="2"/>
    </row>
    <row r="573" spans="1:74" ht="15.75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3"/>
      <c r="Z573" s="3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38"/>
      <c r="BF573" s="2"/>
      <c r="BG573" s="38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U573" s="2"/>
      <c r="BV573" s="2"/>
    </row>
    <row r="574" spans="1:74" ht="15.75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3"/>
      <c r="Z574" s="3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38"/>
      <c r="BF574" s="2"/>
      <c r="BG574" s="38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U574" s="2"/>
      <c r="BV574" s="2"/>
    </row>
    <row r="575" spans="1:74" ht="15.75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3"/>
      <c r="Z575" s="3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38"/>
      <c r="BF575" s="2"/>
      <c r="BG575" s="38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U575" s="2"/>
      <c r="BV575" s="2"/>
    </row>
    <row r="576" spans="1:74" ht="15.7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3"/>
      <c r="Z576" s="3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38"/>
      <c r="BF576" s="2"/>
      <c r="BG576" s="38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U576" s="2"/>
      <c r="BV576" s="2"/>
    </row>
    <row r="577" spans="1:74" ht="15.75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3"/>
      <c r="Z577" s="3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38"/>
      <c r="BF577" s="2"/>
      <c r="BG577" s="38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U577" s="2"/>
      <c r="BV577" s="2"/>
    </row>
    <row r="578" spans="1:74" ht="15.75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3"/>
      <c r="Z578" s="3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38"/>
      <c r="BF578" s="2"/>
      <c r="BG578" s="38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U578" s="2"/>
      <c r="BV578" s="2"/>
    </row>
    <row r="579" spans="1:74" ht="15.75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3"/>
      <c r="Z579" s="3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38"/>
      <c r="BF579" s="2"/>
      <c r="BG579" s="38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U579" s="2"/>
      <c r="BV579" s="2"/>
    </row>
    <row r="580" spans="1:74" ht="15.7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3"/>
      <c r="Z580" s="3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38"/>
      <c r="BF580" s="2"/>
      <c r="BG580" s="38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U580" s="2"/>
      <c r="BV580" s="2"/>
    </row>
    <row r="581" spans="1:74" ht="15.75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3"/>
      <c r="Z581" s="3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38"/>
      <c r="BF581" s="2"/>
      <c r="BG581" s="38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U581" s="2"/>
      <c r="BV581" s="2"/>
    </row>
    <row r="582" spans="1:74" ht="15.7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3"/>
      <c r="Z582" s="3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38"/>
      <c r="BF582" s="2"/>
      <c r="BG582" s="38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U582" s="2"/>
      <c r="BV582" s="2"/>
    </row>
    <row r="583" spans="1:74" ht="15.75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3"/>
      <c r="Z583" s="3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38"/>
      <c r="BF583" s="2"/>
      <c r="BG583" s="38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U583" s="2"/>
      <c r="BV583" s="2"/>
    </row>
    <row r="584" spans="1:74" ht="15.7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3"/>
      <c r="Z584" s="3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38"/>
      <c r="BF584" s="2"/>
      <c r="BG584" s="38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U584" s="2"/>
      <c r="BV584" s="2"/>
    </row>
    <row r="585" spans="1:74" ht="15.75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3"/>
      <c r="Z585" s="3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38"/>
      <c r="BF585" s="2"/>
      <c r="BG585" s="38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U585" s="2"/>
      <c r="BV585" s="2"/>
    </row>
    <row r="586" spans="1:74" ht="15.7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3"/>
      <c r="Z586" s="3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38"/>
      <c r="BF586" s="2"/>
      <c r="BG586" s="38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U586" s="2"/>
      <c r="BV586" s="2"/>
    </row>
    <row r="587" spans="1:74" ht="15.75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3"/>
      <c r="Z587" s="3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38"/>
      <c r="BF587" s="2"/>
      <c r="BG587" s="38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U587" s="2"/>
      <c r="BV587" s="2"/>
    </row>
    <row r="588" spans="1:74" ht="15.75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3"/>
      <c r="Z588" s="3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38"/>
      <c r="BF588" s="2"/>
      <c r="BG588" s="38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U588" s="2"/>
      <c r="BV588" s="2"/>
    </row>
    <row r="589" spans="1:74" ht="15.75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3"/>
      <c r="Z589" s="3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38"/>
      <c r="BF589" s="2"/>
      <c r="BG589" s="38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U589" s="2"/>
      <c r="BV589" s="2"/>
    </row>
    <row r="590" spans="1:74" ht="15.7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3"/>
      <c r="Z590" s="3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38"/>
      <c r="BF590" s="2"/>
      <c r="BG590" s="38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U590" s="2"/>
      <c r="BV590" s="2"/>
    </row>
    <row r="591" spans="1:74" ht="15.75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3"/>
      <c r="Z591" s="3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38"/>
      <c r="BF591" s="2"/>
      <c r="BG591" s="38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U591" s="2"/>
      <c r="BV591" s="2"/>
    </row>
    <row r="592" spans="1:74" ht="15.7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3"/>
      <c r="Z592" s="3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38"/>
      <c r="BF592" s="2"/>
      <c r="BG592" s="38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U592" s="2"/>
      <c r="BV592" s="2"/>
    </row>
    <row r="593" spans="1:74" ht="15.75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3"/>
      <c r="Z593" s="3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38"/>
      <c r="BF593" s="2"/>
      <c r="BG593" s="38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U593" s="2"/>
      <c r="BV593" s="2"/>
    </row>
    <row r="594" spans="1:74" ht="15.7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3"/>
      <c r="Z594" s="3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38"/>
      <c r="BF594" s="2"/>
      <c r="BG594" s="38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U594" s="2"/>
      <c r="BV594" s="2"/>
    </row>
    <row r="595" spans="1:74" ht="15.75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3"/>
      <c r="Z595" s="3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38"/>
      <c r="BF595" s="2"/>
      <c r="BG595" s="38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U595" s="2"/>
      <c r="BV595" s="2"/>
    </row>
    <row r="596" spans="1:74" ht="15.75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3"/>
      <c r="Z596" s="3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38"/>
      <c r="BF596" s="2"/>
      <c r="BG596" s="38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U596" s="2"/>
      <c r="BV596" s="2"/>
    </row>
    <row r="597" spans="1:74" ht="15.75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3"/>
      <c r="Z597" s="3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38"/>
      <c r="BF597" s="2"/>
      <c r="BG597" s="38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U597" s="2"/>
      <c r="BV597" s="2"/>
    </row>
    <row r="598" spans="1:74" ht="15.7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3"/>
      <c r="Z598" s="3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38"/>
      <c r="BF598" s="2"/>
      <c r="BG598" s="38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U598" s="2"/>
      <c r="BV598" s="2"/>
    </row>
    <row r="599" spans="1:74" ht="15.75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3"/>
      <c r="Z599" s="3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38"/>
      <c r="BF599" s="2"/>
      <c r="BG599" s="38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U599" s="2"/>
      <c r="BV599" s="2"/>
    </row>
    <row r="600" spans="1:74" ht="15.7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3"/>
      <c r="Z600" s="3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38"/>
      <c r="BF600" s="2"/>
      <c r="BG600" s="38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U600" s="2"/>
      <c r="BV600" s="2"/>
    </row>
    <row r="601" spans="1:74" ht="15.75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3"/>
      <c r="Z601" s="3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38"/>
      <c r="BF601" s="2"/>
      <c r="BG601" s="38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U601" s="2"/>
      <c r="BV601" s="2"/>
    </row>
    <row r="602" spans="1:74" ht="15.75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3"/>
      <c r="Z602" s="3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38"/>
      <c r="BF602" s="2"/>
      <c r="BG602" s="38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U602" s="2"/>
      <c r="BV602" s="2"/>
    </row>
    <row r="603" spans="1:74" ht="15.75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3"/>
      <c r="Z603" s="3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38"/>
      <c r="BF603" s="2"/>
      <c r="BG603" s="38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U603" s="2"/>
      <c r="BV603" s="2"/>
    </row>
    <row r="604" spans="1:74" ht="15.75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3"/>
      <c r="Z604" s="3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38"/>
      <c r="BF604" s="2"/>
      <c r="BG604" s="38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U604" s="2"/>
      <c r="BV604" s="2"/>
    </row>
    <row r="605" spans="1:74" ht="15.75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3"/>
      <c r="Z605" s="3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38"/>
      <c r="BF605" s="2"/>
      <c r="BG605" s="38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U605" s="2"/>
      <c r="BV605" s="2"/>
    </row>
    <row r="606" spans="1:74" ht="15.7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3"/>
      <c r="Z606" s="3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38"/>
      <c r="BF606" s="2"/>
      <c r="BG606" s="38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U606" s="2"/>
      <c r="BV606" s="2"/>
    </row>
    <row r="607" spans="1:74" ht="15.75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3"/>
      <c r="Z607" s="3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38"/>
      <c r="BF607" s="2"/>
      <c r="BG607" s="38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U607" s="2"/>
      <c r="BV607" s="2"/>
    </row>
    <row r="608" spans="1:74" ht="15.75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3"/>
      <c r="Z608" s="3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38"/>
      <c r="BF608" s="2"/>
      <c r="BG608" s="38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U608" s="2"/>
      <c r="BV608" s="2"/>
    </row>
    <row r="609" spans="1:74" ht="15.75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3"/>
      <c r="Z609" s="3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38"/>
      <c r="BF609" s="2"/>
      <c r="BG609" s="38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U609" s="2"/>
      <c r="BV609" s="2"/>
    </row>
    <row r="610" spans="1:74" ht="15.75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3"/>
      <c r="Z610" s="3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38"/>
      <c r="BF610" s="2"/>
      <c r="BG610" s="38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U610" s="2"/>
      <c r="BV610" s="2"/>
    </row>
    <row r="611" spans="1:74" ht="15.75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3"/>
      <c r="Z611" s="3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38"/>
      <c r="BF611" s="2"/>
      <c r="BG611" s="38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U611" s="2"/>
      <c r="BV611" s="2"/>
    </row>
    <row r="612" spans="1:74" ht="15.7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3"/>
      <c r="Z612" s="3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38"/>
      <c r="BF612" s="2"/>
      <c r="BG612" s="38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U612" s="2"/>
      <c r="BV612" s="2"/>
    </row>
    <row r="613" spans="1:74" ht="15.75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3"/>
      <c r="Z613" s="3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38"/>
      <c r="BF613" s="2"/>
      <c r="BG613" s="38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U613" s="2"/>
      <c r="BV613" s="2"/>
    </row>
    <row r="614" spans="1:74" ht="15.7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3"/>
      <c r="Z614" s="3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38"/>
      <c r="BF614" s="2"/>
      <c r="BG614" s="38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U614" s="2"/>
      <c r="BV614" s="2"/>
    </row>
    <row r="615" spans="1:74" ht="15.75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3"/>
      <c r="Z615" s="3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38"/>
      <c r="BF615" s="2"/>
      <c r="BG615" s="38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U615" s="2"/>
      <c r="BV615" s="2"/>
    </row>
    <row r="616" spans="1:74" ht="15.75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3"/>
      <c r="Z616" s="3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38"/>
      <c r="BF616" s="2"/>
      <c r="BG616" s="38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U616" s="2"/>
      <c r="BV616" s="2"/>
    </row>
    <row r="617" spans="1:74" ht="15.75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3"/>
      <c r="Z617" s="3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38"/>
      <c r="BF617" s="2"/>
      <c r="BG617" s="38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U617" s="2"/>
      <c r="BV617" s="2"/>
    </row>
    <row r="618" spans="1:74" ht="15.75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3"/>
      <c r="Z618" s="3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38"/>
      <c r="BF618" s="2"/>
      <c r="BG618" s="38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U618" s="2"/>
      <c r="BV618" s="2"/>
    </row>
    <row r="619" spans="1:74" ht="15.75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3"/>
      <c r="Z619" s="3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38"/>
      <c r="BF619" s="2"/>
      <c r="BG619" s="38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U619" s="2"/>
      <c r="BV619" s="2"/>
    </row>
    <row r="620" spans="1:74" ht="15.7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3"/>
      <c r="Z620" s="3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38"/>
      <c r="BF620" s="2"/>
      <c r="BG620" s="38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U620" s="2"/>
      <c r="BV620" s="2"/>
    </row>
    <row r="621" spans="1:74" ht="15.75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3"/>
      <c r="Z621" s="3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38"/>
      <c r="BF621" s="2"/>
      <c r="BG621" s="38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U621" s="2"/>
      <c r="BV621" s="2"/>
    </row>
    <row r="622" spans="1:74" ht="15.75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3"/>
      <c r="Z622" s="3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38"/>
      <c r="BF622" s="2"/>
      <c r="BG622" s="38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U622" s="2"/>
      <c r="BV622" s="2"/>
    </row>
    <row r="623" spans="1:74" ht="15.75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3"/>
      <c r="Z623" s="3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38"/>
      <c r="BF623" s="2"/>
      <c r="BG623" s="38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U623" s="2"/>
      <c r="BV623" s="2"/>
    </row>
    <row r="624" spans="1:74" ht="15.7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3"/>
      <c r="Z624" s="3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38"/>
      <c r="BF624" s="2"/>
      <c r="BG624" s="38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U624" s="2"/>
      <c r="BV624" s="2"/>
    </row>
    <row r="625" spans="1:74" ht="15.75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3"/>
      <c r="Z625" s="3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38"/>
      <c r="BF625" s="2"/>
      <c r="BG625" s="38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U625" s="2"/>
      <c r="BV625" s="2"/>
    </row>
    <row r="626" spans="1:74" ht="15.7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3"/>
      <c r="Z626" s="3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38"/>
      <c r="BF626" s="2"/>
      <c r="BG626" s="38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U626" s="2"/>
      <c r="BV626" s="2"/>
    </row>
    <row r="627" spans="1:74" ht="15.7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3"/>
      <c r="Z627" s="3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38"/>
      <c r="BF627" s="2"/>
      <c r="BG627" s="38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U627" s="2"/>
      <c r="BV627" s="2"/>
    </row>
    <row r="628" spans="1:74" ht="15.7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3"/>
      <c r="Z628" s="3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38"/>
      <c r="BF628" s="2"/>
      <c r="BG628" s="38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U628" s="2"/>
      <c r="BV628" s="2"/>
    </row>
    <row r="629" spans="1:74" ht="15.7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3"/>
      <c r="Z629" s="3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38"/>
      <c r="BF629" s="2"/>
      <c r="BG629" s="38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U629" s="2"/>
      <c r="BV629" s="2"/>
    </row>
    <row r="630" spans="1:74" ht="15.7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3"/>
      <c r="Z630" s="3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38"/>
      <c r="BF630" s="2"/>
      <c r="BG630" s="38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U630" s="2"/>
      <c r="BV630" s="2"/>
    </row>
    <row r="631" spans="1:74" ht="15.7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3"/>
      <c r="Z631" s="3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38"/>
      <c r="BF631" s="2"/>
      <c r="BG631" s="38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U631" s="2"/>
      <c r="BV631" s="2"/>
    </row>
    <row r="632" spans="1:74" ht="15.7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3"/>
      <c r="Z632" s="3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38"/>
      <c r="BF632" s="2"/>
      <c r="BG632" s="38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U632" s="2"/>
      <c r="BV632" s="2"/>
    </row>
    <row r="633" spans="1:74" ht="15.7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3"/>
      <c r="Z633" s="3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38"/>
      <c r="BF633" s="2"/>
      <c r="BG633" s="38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U633" s="2"/>
      <c r="BV633" s="2"/>
    </row>
    <row r="634" spans="1:74" ht="15.7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3"/>
      <c r="Z634" s="3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38"/>
      <c r="BF634" s="2"/>
      <c r="BG634" s="38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U634" s="2"/>
      <c r="BV634" s="2"/>
    </row>
    <row r="635" spans="1:74" ht="15.7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3"/>
      <c r="Z635" s="3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38"/>
      <c r="BF635" s="2"/>
      <c r="BG635" s="38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U635" s="2"/>
      <c r="BV635" s="2"/>
    </row>
    <row r="636" spans="1:74" ht="15.7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3"/>
      <c r="Z636" s="3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38"/>
      <c r="BF636" s="2"/>
      <c r="BG636" s="38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U636" s="2"/>
      <c r="BV636" s="2"/>
    </row>
    <row r="637" spans="1:74" ht="15.7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3"/>
      <c r="Z637" s="3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38"/>
      <c r="BF637" s="2"/>
      <c r="BG637" s="38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U637" s="2"/>
      <c r="BV637" s="2"/>
    </row>
    <row r="638" spans="1:74" ht="15.7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3"/>
      <c r="Z638" s="3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38"/>
      <c r="BF638" s="2"/>
      <c r="BG638" s="38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U638" s="2"/>
      <c r="BV638" s="2"/>
    </row>
    <row r="639" spans="1:74" ht="15.7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3"/>
      <c r="Z639" s="3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38"/>
      <c r="BF639" s="2"/>
      <c r="BG639" s="38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U639" s="2"/>
      <c r="BV639" s="2"/>
    </row>
    <row r="640" spans="1:74" ht="15.7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3"/>
      <c r="Z640" s="3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38"/>
      <c r="BF640" s="2"/>
      <c r="BG640" s="38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U640" s="2"/>
      <c r="BV640" s="2"/>
    </row>
    <row r="641" spans="1:74" ht="15.7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3"/>
      <c r="Z641" s="3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38"/>
      <c r="BF641" s="2"/>
      <c r="BG641" s="38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U641" s="2"/>
      <c r="BV641" s="2"/>
    </row>
    <row r="642" spans="1:74" ht="15.7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3"/>
      <c r="Z642" s="3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38"/>
      <c r="BF642" s="2"/>
      <c r="BG642" s="38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U642" s="2"/>
      <c r="BV642" s="2"/>
    </row>
    <row r="643" spans="1:74" ht="15.7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3"/>
      <c r="Z643" s="3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38"/>
      <c r="BF643" s="2"/>
      <c r="BG643" s="38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U643" s="2"/>
      <c r="BV643" s="2"/>
    </row>
    <row r="644" spans="1:74" ht="15.7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3"/>
      <c r="Z644" s="3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38"/>
      <c r="BF644" s="2"/>
      <c r="BG644" s="38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U644" s="2"/>
      <c r="BV644" s="2"/>
    </row>
    <row r="645" spans="1:74" ht="15.7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3"/>
      <c r="Z645" s="3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38"/>
      <c r="BF645" s="2"/>
      <c r="BG645" s="38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U645" s="2"/>
      <c r="BV645" s="2"/>
    </row>
    <row r="646" spans="1:74" ht="15.7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3"/>
      <c r="Z646" s="3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38"/>
      <c r="BF646" s="2"/>
      <c r="BG646" s="38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U646" s="2"/>
      <c r="BV646" s="2"/>
    </row>
    <row r="647" spans="1:74" ht="15.7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3"/>
      <c r="Z647" s="3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38"/>
      <c r="BF647" s="2"/>
      <c r="BG647" s="38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U647" s="2"/>
      <c r="BV647" s="2"/>
    </row>
    <row r="648" spans="1:74" ht="15.7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3"/>
      <c r="Z648" s="3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38"/>
      <c r="BF648" s="2"/>
      <c r="BG648" s="38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U648" s="2"/>
      <c r="BV648" s="2"/>
    </row>
    <row r="649" spans="1:74" ht="15.7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3"/>
      <c r="Z649" s="3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38"/>
      <c r="BF649" s="2"/>
      <c r="BG649" s="38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U649" s="2"/>
      <c r="BV649" s="2"/>
    </row>
    <row r="650" spans="1:74" ht="15.7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3"/>
      <c r="Z650" s="3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38"/>
      <c r="BF650" s="2"/>
      <c r="BG650" s="38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U650" s="2"/>
      <c r="BV650" s="2"/>
    </row>
    <row r="651" spans="1:74" ht="15.7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3"/>
      <c r="Z651" s="3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38"/>
      <c r="BF651" s="2"/>
      <c r="BG651" s="38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U651" s="2"/>
      <c r="BV651" s="2"/>
    </row>
    <row r="652" spans="1:74" ht="15.7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3"/>
      <c r="Z652" s="3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38"/>
      <c r="BF652" s="2"/>
      <c r="BG652" s="38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U652" s="2"/>
      <c r="BV652" s="2"/>
    </row>
    <row r="653" spans="1:74" ht="15.7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3"/>
      <c r="Z653" s="3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38"/>
      <c r="BF653" s="2"/>
      <c r="BG653" s="38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U653" s="2"/>
      <c r="BV653" s="2"/>
    </row>
    <row r="654" spans="1:74" ht="15.7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3"/>
      <c r="Z654" s="3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38"/>
      <c r="BF654" s="2"/>
      <c r="BG654" s="38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U654" s="2"/>
      <c r="BV654" s="2"/>
    </row>
    <row r="655" spans="1:74" ht="15.7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3"/>
      <c r="Z655" s="3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38"/>
      <c r="BF655" s="2"/>
      <c r="BG655" s="38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U655" s="2"/>
      <c r="BV655" s="2"/>
    </row>
    <row r="656" spans="1:74" ht="15.7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3"/>
      <c r="Z656" s="3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38"/>
      <c r="BF656" s="2"/>
      <c r="BG656" s="38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U656" s="2"/>
      <c r="BV656" s="2"/>
    </row>
    <row r="657" spans="1:74" ht="15.7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3"/>
      <c r="Z657" s="3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38"/>
      <c r="BF657" s="2"/>
      <c r="BG657" s="38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U657" s="2"/>
      <c r="BV657" s="2"/>
    </row>
    <row r="658" spans="1:74" ht="15.7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3"/>
      <c r="Z658" s="3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38"/>
      <c r="BF658" s="2"/>
      <c r="BG658" s="38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U658" s="2"/>
      <c r="BV658" s="2"/>
    </row>
    <row r="659" spans="1:74" ht="15.7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3"/>
      <c r="Z659" s="3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38"/>
      <c r="BF659" s="2"/>
      <c r="BG659" s="38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U659" s="2"/>
      <c r="BV659" s="2"/>
    </row>
    <row r="660" spans="1:74" ht="15.7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3"/>
      <c r="Z660" s="3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38"/>
      <c r="BF660" s="2"/>
      <c r="BG660" s="38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U660" s="2"/>
      <c r="BV660" s="2"/>
    </row>
    <row r="661" spans="1:74" ht="15.7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3"/>
      <c r="Z661" s="3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38"/>
      <c r="BF661" s="2"/>
      <c r="BG661" s="38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U661" s="2"/>
      <c r="BV661" s="2"/>
    </row>
    <row r="662" spans="1:74" ht="15.7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3"/>
      <c r="Z662" s="3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38"/>
      <c r="BF662" s="2"/>
      <c r="BG662" s="38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U662" s="2"/>
      <c r="BV662" s="2"/>
    </row>
    <row r="663" spans="1:74" ht="15.7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3"/>
      <c r="Z663" s="3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38"/>
      <c r="BF663" s="2"/>
      <c r="BG663" s="38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U663" s="2"/>
      <c r="BV663" s="2"/>
    </row>
    <row r="664" spans="1:74" ht="15.7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3"/>
      <c r="Z664" s="3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38"/>
      <c r="BF664" s="2"/>
      <c r="BG664" s="38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U664" s="2"/>
      <c r="BV664" s="2"/>
    </row>
    <row r="665" spans="1:74" ht="15.7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3"/>
      <c r="Z665" s="3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38"/>
      <c r="BF665" s="2"/>
      <c r="BG665" s="38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U665" s="2"/>
      <c r="BV665" s="2"/>
    </row>
    <row r="666" spans="1:74" ht="15.7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3"/>
      <c r="Z666" s="3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38"/>
      <c r="BF666" s="2"/>
      <c r="BG666" s="38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U666" s="2"/>
      <c r="BV666" s="2"/>
    </row>
    <row r="667" spans="1:74" ht="15.7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3"/>
      <c r="Z667" s="3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38"/>
      <c r="BF667" s="2"/>
      <c r="BG667" s="38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U667" s="2"/>
      <c r="BV667" s="2"/>
    </row>
    <row r="668" spans="1:74" ht="15.7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3"/>
      <c r="Z668" s="3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38"/>
      <c r="BF668" s="2"/>
      <c r="BG668" s="38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U668" s="2"/>
      <c r="BV668" s="2"/>
    </row>
    <row r="669" spans="1:74" ht="15.7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3"/>
      <c r="Z669" s="3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38"/>
      <c r="BF669" s="2"/>
      <c r="BG669" s="38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U669" s="2"/>
      <c r="BV669" s="2"/>
    </row>
    <row r="670" spans="1:74" ht="15.7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3"/>
      <c r="Z670" s="3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38"/>
      <c r="BF670" s="2"/>
      <c r="BG670" s="38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U670" s="2"/>
      <c r="BV670" s="2"/>
    </row>
    <row r="671" spans="1:74" ht="15.7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3"/>
      <c r="Z671" s="3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38"/>
      <c r="BF671" s="2"/>
      <c r="BG671" s="38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U671" s="2"/>
      <c r="BV671" s="2"/>
    </row>
    <row r="672" spans="1:74" ht="15.7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3"/>
      <c r="Z672" s="3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38"/>
      <c r="BF672" s="2"/>
      <c r="BG672" s="38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U672" s="2"/>
      <c r="BV672" s="2"/>
    </row>
    <row r="673" spans="1:74" ht="15.7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3"/>
      <c r="Z673" s="3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38"/>
      <c r="BF673" s="2"/>
      <c r="BG673" s="38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U673" s="2"/>
      <c r="BV673" s="2"/>
    </row>
    <row r="674" spans="1:74" ht="15.7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3"/>
      <c r="Z674" s="3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38"/>
      <c r="BF674" s="2"/>
      <c r="BG674" s="38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U674" s="2"/>
      <c r="BV674" s="2"/>
    </row>
    <row r="675" spans="1:74" ht="15.7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3"/>
      <c r="Z675" s="3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38"/>
      <c r="BF675" s="2"/>
      <c r="BG675" s="38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U675" s="2"/>
      <c r="BV675" s="2"/>
    </row>
    <row r="676" spans="1:74" ht="15.7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3"/>
      <c r="Z676" s="3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38"/>
      <c r="BF676" s="2"/>
      <c r="BG676" s="38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U676" s="2"/>
      <c r="BV676" s="2"/>
    </row>
    <row r="677" spans="1:74" ht="15.7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3"/>
      <c r="Z677" s="3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38"/>
      <c r="BF677" s="2"/>
      <c r="BG677" s="38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U677" s="2"/>
      <c r="BV677" s="2"/>
    </row>
    <row r="678" spans="1:74" ht="15.7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3"/>
      <c r="Z678" s="3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38"/>
      <c r="BF678" s="2"/>
      <c r="BG678" s="38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U678" s="2"/>
      <c r="BV678" s="2"/>
    </row>
    <row r="679" spans="1:74" ht="15.7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3"/>
      <c r="Z679" s="3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38"/>
      <c r="BF679" s="2"/>
      <c r="BG679" s="38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U679" s="2"/>
      <c r="BV679" s="2"/>
    </row>
    <row r="680" spans="1:74" ht="15.7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3"/>
      <c r="Z680" s="3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38"/>
      <c r="BF680" s="2"/>
      <c r="BG680" s="38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U680" s="2"/>
      <c r="BV680" s="2"/>
    </row>
    <row r="681" spans="1:74" ht="15.7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3"/>
      <c r="Z681" s="3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38"/>
      <c r="BF681" s="2"/>
      <c r="BG681" s="38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U681" s="2"/>
      <c r="BV681" s="2"/>
    </row>
    <row r="682" spans="1:74" ht="15.7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3"/>
      <c r="Z682" s="3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38"/>
      <c r="BF682" s="2"/>
      <c r="BG682" s="38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U682" s="2"/>
      <c r="BV682" s="2"/>
    </row>
    <row r="683" spans="1:74" ht="15.7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3"/>
      <c r="Z683" s="3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38"/>
      <c r="BF683" s="2"/>
      <c r="BG683" s="38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U683" s="2"/>
      <c r="BV683" s="2"/>
    </row>
    <row r="684" spans="1:74" ht="15.7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3"/>
      <c r="Z684" s="3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38"/>
      <c r="BF684" s="2"/>
      <c r="BG684" s="38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U684" s="2"/>
      <c r="BV684" s="2"/>
    </row>
    <row r="685" spans="1:74" ht="15.7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3"/>
      <c r="Z685" s="3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38"/>
      <c r="BF685" s="2"/>
      <c r="BG685" s="38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U685" s="2"/>
      <c r="BV685" s="2"/>
    </row>
    <row r="686" spans="1:74" ht="15.7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3"/>
      <c r="Z686" s="3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38"/>
      <c r="BF686" s="2"/>
      <c r="BG686" s="38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U686" s="2"/>
      <c r="BV686" s="2"/>
    </row>
    <row r="687" spans="1:74" ht="15.7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3"/>
      <c r="Z687" s="3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38"/>
      <c r="BF687" s="2"/>
      <c r="BG687" s="38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U687" s="2"/>
      <c r="BV687" s="2"/>
    </row>
    <row r="688" spans="1:74" ht="15.7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3"/>
      <c r="Z688" s="3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38"/>
      <c r="BF688" s="2"/>
      <c r="BG688" s="38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U688" s="2"/>
      <c r="BV688" s="2"/>
    </row>
    <row r="689" spans="1:74" ht="15.7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3"/>
      <c r="Z689" s="3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38"/>
      <c r="BF689" s="2"/>
      <c r="BG689" s="38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U689" s="2"/>
      <c r="BV689" s="2"/>
    </row>
    <row r="690" spans="1:74" ht="15.7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3"/>
      <c r="Z690" s="3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38"/>
      <c r="BF690" s="2"/>
      <c r="BG690" s="38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U690" s="2"/>
      <c r="BV690" s="2"/>
    </row>
    <row r="691" spans="1:74" ht="15.7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3"/>
      <c r="Z691" s="3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38"/>
      <c r="BF691" s="2"/>
      <c r="BG691" s="38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U691" s="2"/>
      <c r="BV691" s="2"/>
    </row>
    <row r="692" spans="1:74" ht="15.7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3"/>
      <c r="Z692" s="3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38"/>
      <c r="BF692" s="2"/>
      <c r="BG692" s="38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U692" s="2"/>
      <c r="BV692" s="2"/>
    </row>
    <row r="693" spans="1:74" ht="15.7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3"/>
      <c r="Z693" s="3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38"/>
      <c r="BF693" s="2"/>
      <c r="BG693" s="38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U693" s="2"/>
      <c r="BV693" s="2"/>
    </row>
    <row r="694" spans="1:74" ht="15.7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3"/>
      <c r="Z694" s="3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38"/>
      <c r="BF694" s="2"/>
      <c r="BG694" s="38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U694" s="2"/>
      <c r="BV694" s="2"/>
    </row>
    <row r="695" spans="1:74" ht="15.7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3"/>
      <c r="Z695" s="3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38"/>
      <c r="BF695" s="2"/>
      <c r="BG695" s="38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U695" s="2"/>
      <c r="BV695" s="2"/>
    </row>
    <row r="696" spans="1:74" ht="15.7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3"/>
      <c r="Z696" s="3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38"/>
      <c r="BF696" s="2"/>
      <c r="BG696" s="38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U696" s="2"/>
      <c r="BV696" s="2"/>
    </row>
    <row r="697" spans="1:74" ht="15.7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3"/>
      <c r="Z697" s="3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38"/>
      <c r="BF697" s="2"/>
      <c r="BG697" s="38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U697" s="2"/>
      <c r="BV697" s="2"/>
    </row>
    <row r="698" spans="1:74" ht="15.7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3"/>
      <c r="Z698" s="3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38"/>
      <c r="BF698" s="2"/>
      <c r="BG698" s="38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U698" s="2"/>
      <c r="BV698" s="2"/>
    </row>
    <row r="699" spans="1:74" ht="15.7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3"/>
      <c r="Z699" s="3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38"/>
      <c r="BF699" s="2"/>
      <c r="BG699" s="38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U699" s="2"/>
      <c r="BV699" s="2"/>
    </row>
    <row r="700" spans="1:74" ht="15.7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3"/>
      <c r="Z700" s="3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38"/>
      <c r="BF700" s="2"/>
      <c r="BG700" s="38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U700" s="2"/>
      <c r="BV700" s="2"/>
    </row>
    <row r="701" spans="1:74" ht="15.7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3"/>
      <c r="Z701" s="3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38"/>
      <c r="BF701" s="2"/>
      <c r="BG701" s="38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U701" s="2"/>
      <c r="BV701" s="2"/>
    </row>
    <row r="702" spans="1:74" ht="15.7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3"/>
      <c r="Z702" s="3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38"/>
      <c r="BF702" s="2"/>
      <c r="BG702" s="38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U702" s="2"/>
      <c r="BV702" s="2"/>
    </row>
    <row r="703" spans="1:74" ht="15.7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3"/>
      <c r="Z703" s="3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38"/>
      <c r="BF703" s="2"/>
      <c r="BG703" s="38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U703" s="2"/>
      <c r="BV703" s="2"/>
    </row>
    <row r="704" spans="1:74" ht="15.7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3"/>
      <c r="Z704" s="3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38"/>
      <c r="BF704" s="2"/>
      <c r="BG704" s="38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U704" s="2"/>
      <c r="BV704" s="2"/>
    </row>
    <row r="705" spans="1:74" ht="15.7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3"/>
      <c r="Z705" s="3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38"/>
      <c r="BF705" s="2"/>
      <c r="BG705" s="38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U705" s="2"/>
      <c r="BV705" s="2"/>
    </row>
    <row r="706" spans="1:74" ht="15.7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3"/>
      <c r="Z706" s="3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38"/>
      <c r="BF706" s="2"/>
      <c r="BG706" s="38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U706" s="2"/>
      <c r="BV706" s="2"/>
    </row>
    <row r="707" spans="1:74" ht="15.7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3"/>
      <c r="Z707" s="3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38"/>
      <c r="BF707" s="2"/>
      <c r="BG707" s="38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U707" s="2"/>
      <c r="BV707" s="2"/>
    </row>
    <row r="708" spans="1:74" ht="15.7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3"/>
      <c r="Z708" s="3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38"/>
      <c r="BF708" s="2"/>
      <c r="BG708" s="38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U708" s="2"/>
      <c r="BV708" s="2"/>
    </row>
    <row r="709" spans="1:74" ht="15.7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3"/>
      <c r="Z709" s="3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38"/>
      <c r="BF709" s="2"/>
      <c r="BG709" s="38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U709" s="2"/>
      <c r="BV709" s="2"/>
    </row>
    <row r="710" spans="1:74" ht="15.7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3"/>
      <c r="Z710" s="3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38"/>
      <c r="BF710" s="2"/>
      <c r="BG710" s="38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U710" s="2"/>
      <c r="BV710" s="2"/>
    </row>
    <row r="711" spans="1:74" ht="15.7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3"/>
      <c r="Z711" s="3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38"/>
      <c r="BF711" s="2"/>
      <c r="BG711" s="38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U711" s="2"/>
      <c r="BV711" s="2"/>
    </row>
    <row r="712" spans="1:74" ht="15.7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3"/>
      <c r="Z712" s="3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38"/>
      <c r="BF712" s="2"/>
      <c r="BG712" s="38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U712" s="2"/>
      <c r="BV712" s="2"/>
    </row>
    <row r="713" spans="1:74" ht="15.7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3"/>
      <c r="Z713" s="3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38"/>
      <c r="BF713" s="2"/>
      <c r="BG713" s="38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U713" s="2"/>
      <c r="BV713" s="2"/>
    </row>
    <row r="714" spans="1:74" ht="15.7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3"/>
      <c r="Z714" s="3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38"/>
      <c r="BF714" s="2"/>
      <c r="BG714" s="38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U714" s="2"/>
      <c r="BV714" s="2"/>
    </row>
    <row r="715" spans="1:74" ht="15.7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3"/>
      <c r="Z715" s="3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38"/>
      <c r="BF715" s="2"/>
      <c r="BG715" s="38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U715" s="2"/>
      <c r="BV715" s="2"/>
    </row>
    <row r="716" spans="1:74" ht="15.7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3"/>
      <c r="Z716" s="3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38"/>
      <c r="BF716" s="2"/>
      <c r="BG716" s="38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U716" s="2"/>
      <c r="BV716" s="2"/>
    </row>
    <row r="717" spans="1:74" ht="15.7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3"/>
      <c r="Z717" s="3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38"/>
      <c r="BF717" s="2"/>
      <c r="BG717" s="38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U717" s="2"/>
      <c r="BV717" s="2"/>
    </row>
    <row r="718" spans="1:74" ht="15.7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3"/>
      <c r="Z718" s="3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38"/>
      <c r="BF718" s="2"/>
      <c r="BG718" s="38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U718" s="2"/>
      <c r="BV718" s="2"/>
    </row>
    <row r="719" spans="1:74" ht="15.7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3"/>
      <c r="Z719" s="3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38"/>
      <c r="BF719" s="2"/>
      <c r="BG719" s="38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U719" s="2"/>
      <c r="BV719" s="2"/>
    </row>
    <row r="720" spans="1:74" ht="15.7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3"/>
      <c r="Z720" s="3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38"/>
      <c r="BF720" s="2"/>
      <c r="BG720" s="38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U720" s="2"/>
      <c r="BV720" s="2"/>
    </row>
    <row r="721" spans="1:74" ht="15.7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3"/>
      <c r="Z721" s="3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38"/>
      <c r="BF721" s="2"/>
      <c r="BG721" s="38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U721" s="2"/>
      <c r="BV721" s="2"/>
    </row>
    <row r="722" spans="1:74" ht="15.7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3"/>
      <c r="Z722" s="3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38"/>
      <c r="BF722" s="2"/>
      <c r="BG722" s="38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U722" s="2"/>
      <c r="BV722" s="2"/>
    </row>
    <row r="723" spans="1:74" ht="15.7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3"/>
      <c r="Z723" s="3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38"/>
      <c r="BF723" s="2"/>
      <c r="BG723" s="38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U723" s="2"/>
      <c r="BV723" s="2"/>
    </row>
    <row r="724" spans="1:74" ht="15.7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3"/>
      <c r="Z724" s="3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38"/>
      <c r="BF724" s="2"/>
      <c r="BG724" s="38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U724" s="2"/>
      <c r="BV724" s="2"/>
    </row>
    <row r="725" spans="1:74" ht="15.7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3"/>
      <c r="Z725" s="3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38"/>
      <c r="BF725" s="2"/>
      <c r="BG725" s="38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U725" s="2"/>
      <c r="BV725" s="2"/>
    </row>
    <row r="726" spans="1:74" ht="15.7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3"/>
      <c r="Z726" s="3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38"/>
      <c r="BF726" s="2"/>
      <c r="BG726" s="38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U726" s="2"/>
      <c r="BV726" s="2"/>
    </row>
    <row r="727" spans="1:74" ht="15.7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3"/>
      <c r="Z727" s="3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38"/>
      <c r="BF727" s="2"/>
      <c r="BG727" s="38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U727" s="2"/>
      <c r="BV727" s="2"/>
    </row>
    <row r="728" spans="1:74" ht="15.7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3"/>
      <c r="Z728" s="3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38"/>
      <c r="BF728" s="2"/>
      <c r="BG728" s="38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U728" s="2"/>
      <c r="BV728" s="2"/>
    </row>
    <row r="729" spans="1:74" ht="15.7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3"/>
      <c r="Z729" s="3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38"/>
      <c r="BF729" s="2"/>
      <c r="BG729" s="38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U729" s="2"/>
      <c r="BV729" s="2"/>
    </row>
    <row r="730" spans="1:74" ht="15.7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3"/>
      <c r="Z730" s="3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38"/>
      <c r="BF730" s="2"/>
      <c r="BG730" s="38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U730" s="2"/>
      <c r="BV730" s="2"/>
    </row>
    <row r="731" spans="1:74" ht="15.7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3"/>
      <c r="Z731" s="3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38"/>
      <c r="BF731" s="2"/>
      <c r="BG731" s="38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U731" s="2"/>
      <c r="BV731" s="2"/>
    </row>
    <row r="732" spans="1:74" ht="15.7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3"/>
      <c r="Z732" s="3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38"/>
      <c r="BF732" s="2"/>
      <c r="BG732" s="38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U732" s="2"/>
      <c r="BV732" s="2"/>
    </row>
    <row r="733" spans="1:74" ht="15.7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3"/>
      <c r="Z733" s="3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38"/>
      <c r="BF733" s="2"/>
      <c r="BG733" s="38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U733" s="2"/>
      <c r="BV733" s="2"/>
    </row>
    <row r="734" spans="1:74" ht="15.7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3"/>
      <c r="Z734" s="3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38"/>
      <c r="BF734" s="2"/>
      <c r="BG734" s="38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U734" s="2"/>
      <c r="BV734" s="2"/>
    </row>
    <row r="735" spans="1:74" ht="15.7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3"/>
      <c r="Z735" s="3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38"/>
      <c r="BF735" s="2"/>
      <c r="BG735" s="38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U735" s="2"/>
      <c r="BV735" s="2"/>
    </row>
    <row r="736" spans="1:74" ht="15.7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3"/>
      <c r="Z736" s="3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38"/>
      <c r="BF736" s="2"/>
      <c r="BG736" s="38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U736" s="2"/>
      <c r="BV736" s="2"/>
    </row>
    <row r="737" spans="1:74" ht="15.7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3"/>
      <c r="Z737" s="3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38"/>
      <c r="BF737" s="2"/>
      <c r="BG737" s="38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U737" s="2"/>
      <c r="BV737" s="2"/>
    </row>
    <row r="738" spans="1:74" ht="15.7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3"/>
      <c r="Z738" s="3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38"/>
      <c r="BF738" s="2"/>
      <c r="BG738" s="38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U738" s="2"/>
      <c r="BV738" s="2"/>
    </row>
    <row r="739" spans="1:74" ht="15.7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3"/>
      <c r="Z739" s="3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38"/>
      <c r="BF739" s="2"/>
      <c r="BG739" s="38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U739" s="2"/>
      <c r="BV739" s="2"/>
    </row>
    <row r="740" spans="1:74" ht="15.7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3"/>
      <c r="Z740" s="3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38"/>
      <c r="BF740" s="2"/>
      <c r="BG740" s="38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U740" s="2"/>
      <c r="BV740" s="2"/>
    </row>
    <row r="741" spans="1:74" ht="15.7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3"/>
      <c r="Z741" s="3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38"/>
      <c r="BF741" s="2"/>
      <c r="BG741" s="38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U741" s="2"/>
      <c r="BV741" s="2"/>
    </row>
    <row r="742" spans="1:74" ht="15.7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3"/>
      <c r="Z742" s="3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38"/>
      <c r="BF742" s="2"/>
      <c r="BG742" s="38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U742" s="2"/>
      <c r="BV742" s="2"/>
    </row>
    <row r="743" spans="1:74" ht="15.7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3"/>
      <c r="Z743" s="3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38"/>
      <c r="BF743" s="2"/>
      <c r="BG743" s="38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U743" s="2"/>
      <c r="BV743" s="2"/>
    </row>
    <row r="744" spans="1:74" ht="15.7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3"/>
      <c r="Z744" s="3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38"/>
      <c r="BF744" s="2"/>
      <c r="BG744" s="38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U744" s="2"/>
      <c r="BV744" s="2"/>
    </row>
    <row r="745" spans="1:74" ht="15.7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3"/>
      <c r="Z745" s="3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38"/>
      <c r="BF745" s="2"/>
      <c r="BG745" s="38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U745" s="2"/>
      <c r="BV745" s="2"/>
    </row>
    <row r="746" spans="1:74" ht="15.7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3"/>
      <c r="Z746" s="3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38"/>
      <c r="BF746" s="2"/>
      <c r="BG746" s="38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U746" s="2"/>
      <c r="BV746" s="2"/>
    </row>
    <row r="747" spans="1:74" ht="15.7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3"/>
      <c r="Z747" s="3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38"/>
      <c r="BF747" s="2"/>
      <c r="BG747" s="38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U747" s="2"/>
      <c r="BV747" s="2"/>
    </row>
    <row r="748" spans="1:74" ht="15.7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3"/>
      <c r="Z748" s="3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38"/>
      <c r="BF748" s="2"/>
      <c r="BG748" s="38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U748" s="2"/>
      <c r="BV748" s="2"/>
    </row>
    <row r="749" spans="1:74" ht="15.7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3"/>
      <c r="Z749" s="3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38"/>
      <c r="BF749" s="2"/>
      <c r="BG749" s="38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U749" s="2"/>
      <c r="BV749" s="2"/>
    </row>
    <row r="750" spans="1:74" ht="15.7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3"/>
      <c r="Z750" s="3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38"/>
      <c r="BF750" s="2"/>
      <c r="BG750" s="38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U750" s="2"/>
      <c r="BV750" s="2"/>
    </row>
    <row r="751" spans="1:74" ht="15.7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3"/>
      <c r="Z751" s="3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38"/>
      <c r="BF751" s="2"/>
      <c r="BG751" s="38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U751" s="2"/>
      <c r="BV751" s="2"/>
    </row>
    <row r="752" spans="1:74" ht="15.7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3"/>
      <c r="Z752" s="3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38"/>
      <c r="BF752" s="2"/>
      <c r="BG752" s="38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U752" s="2"/>
      <c r="BV752" s="2"/>
    </row>
    <row r="753" spans="1:74" ht="15.7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3"/>
      <c r="Z753" s="3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38"/>
      <c r="BF753" s="2"/>
      <c r="BG753" s="38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U753" s="2"/>
      <c r="BV753" s="2"/>
    </row>
    <row r="754" spans="1:74" ht="15.7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3"/>
      <c r="Z754" s="3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38"/>
      <c r="BF754" s="2"/>
      <c r="BG754" s="38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U754" s="2"/>
      <c r="BV754" s="2"/>
    </row>
    <row r="755" spans="1:74" ht="15.7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3"/>
      <c r="Z755" s="3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38"/>
      <c r="BF755" s="2"/>
      <c r="BG755" s="38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U755" s="2"/>
      <c r="BV755" s="2"/>
    </row>
    <row r="756" spans="1:74" ht="15.7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3"/>
      <c r="Z756" s="3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38"/>
      <c r="BF756" s="2"/>
      <c r="BG756" s="38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U756" s="2"/>
      <c r="BV756" s="2"/>
    </row>
    <row r="757" spans="1:74" ht="15.7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3"/>
      <c r="Z757" s="3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38"/>
      <c r="BF757" s="2"/>
      <c r="BG757" s="38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U757" s="2"/>
      <c r="BV757" s="2"/>
    </row>
    <row r="758" spans="1:74" ht="15.7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3"/>
      <c r="Z758" s="3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38"/>
      <c r="BF758" s="2"/>
      <c r="BG758" s="38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U758" s="2"/>
      <c r="BV758" s="2"/>
    </row>
    <row r="759" spans="1:74" ht="15.7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3"/>
      <c r="Z759" s="3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38"/>
      <c r="BF759" s="2"/>
      <c r="BG759" s="38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U759" s="2"/>
      <c r="BV759" s="2"/>
    </row>
    <row r="760" spans="1:74" ht="15.7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3"/>
      <c r="Z760" s="3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38"/>
      <c r="BF760" s="2"/>
      <c r="BG760" s="38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U760" s="2"/>
      <c r="BV760" s="2"/>
    </row>
    <row r="761" spans="1:74" ht="15.7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3"/>
      <c r="Z761" s="3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38"/>
      <c r="BF761" s="2"/>
      <c r="BG761" s="38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U761" s="2"/>
      <c r="BV761" s="2"/>
    </row>
    <row r="762" spans="1:74" ht="15.7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3"/>
      <c r="Z762" s="3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38"/>
      <c r="BF762" s="2"/>
      <c r="BG762" s="38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U762" s="2"/>
      <c r="BV762" s="2"/>
    </row>
    <row r="763" spans="1:74" ht="15.7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3"/>
      <c r="Z763" s="3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38"/>
      <c r="BF763" s="2"/>
      <c r="BG763" s="38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U763" s="2"/>
      <c r="BV763" s="2"/>
    </row>
    <row r="764" spans="1:74" ht="15.7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3"/>
      <c r="Z764" s="3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38"/>
      <c r="BF764" s="2"/>
      <c r="BG764" s="38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U764" s="2"/>
      <c r="BV764" s="2"/>
    </row>
    <row r="765" spans="1:74" ht="15.7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3"/>
      <c r="Z765" s="3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38"/>
      <c r="BF765" s="2"/>
      <c r="BG765" s="38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U765" s="2"/>
      <c r="BV765" s="2"/>
    </row>
    <row r="766" spans="1:74" ht="15.7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3"/>
      <c r="Z766" s="3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38"/>
      <c r="BF766" s="2"/>
      <c r="BG766" s="38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U766" s="2"/>
      <c r="BV766" s="2"/>
    </row>
    <row r="767" spans="1:74" ht="15.7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3"/>
      <c r="Z767" s="3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38"/>
      <c r="BF767" s="2"/>
      <c r="BG767" s="38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U767" s="2"/>
      <c r="BV767" s="2"/>
    </row>
    <row r="768" spans="1:74" ht="15.7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3"/>
      <c r="Z768" s="3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38"/>
      <c r="BF768" s="2"/>
      <c r="BG768" s="38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U768" s="2"/>
      <c r="BV768" s="2"/>
    </row>
    <row r="769" spans="1:74" ht="15.7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3"/>
      <c r="Z769" s="3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38"/>
      <c r="BF769" s="2"/>
      <c r="BG769" s="38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U769" s="2"/>
      <c r="BV769" s="2"/>
    </row>
    <row r="770" spans="1:74" ht="15.7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3"/>
      <c r="Z770" s="3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38"/>
      <c r="BF770" s="2"/>
      <c r="BG770" s="38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U770" s="2"/>
      <c r="BV770" s="2"/>
    </row>
    <row r="771" spans="1:74" ht="15.7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3"/>
      <c r="Z771" s="3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38"/>
      <c r="BF771" s="2"/>
      <c r="BG771" s="38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U771" s="2"/>
      <c r="BV771" s="2"/>
    </row>
    <row r="772" spans="1:74" ht="15.7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3"/>
      <c r="Z772" s="3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38"/>
      <c r="BF772" s="2"/>
      <c r="BG772" s="38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U772" s="2"/>
      <c r="BV772" s="2"/>
    </row>
    <row r="773" spans="1:74" ht="15.7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3"/>
      <c r="Z773" s="3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38"/>
      <c r="BF773" s="2"/>
      <c r="BG773" s="38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U773" s="2"/>
      <c r="BV773" s="2"/>
    </row>
    <row r="774" spans="1:74" ht="15.7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3"/>
      <c r="Z774" s="3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38"/>
      <c r="BF774" s="2"/>
      <c r="BG774" s="38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U774" s="2"/>
      <c r="BV774" s="2"/>
    </row>
    <row r="775" spans="1:74" ht="15.7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3"/>
      <c r="Z775" s="3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38"/>
      <c r="BF775" s="2"/>
      <c r="BG775" s="38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U775" s="2"/>
      <c r="BV775" s="2"/>
    </row>
    <row r="776" spans="1:74" ht="15.7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3"/>
      <c r="Z776" s="3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38"/>
      <c r="BF776" s="2"/>
      <c r="BG776" s="38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U776" s="2"/>
      <c r="BV776" s="2"/>
    </row>
    <row r="777" spans="1:74" ht="15.7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3"/>
      <c r="Z777" s="3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38"/>
      <c r="BF777" s="2"/>
      <c r="BG777" s="38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U777" s="2"/>
      <c r="BV777" s="2"/>
    </row>
    <row r="778" spans="1:74" ht="15.7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3"/>
      <c r="Z778" s="3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38"/>
      <c r="BF778" s="2"/>
      <c r="BG778" s="38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U778" s="2"/>
      <c r="BV778" s="2"/>
    </row>
    <row r="779" spans="1:74" ht="15.7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3"/>
      <c r="Z779" s="3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38"/>
      <c r="BF779" s="2"/>
      <c r="BG779" s="38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U779" s="2"/>
      <c r="BV779" s="2"/>
    </row>
    <row r="780" spans="1:74" ht="15.7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3"/>
      <c r="Z780" s="3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38"/>
      <c r="BF780" s="2"/>
      <c r="BG780" s="38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U780" s="2"/>
      <c r="BV780" s="2"/>
    </row>
    <row r="781" spans="1:74" ht="15.7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3"/>
      <c r="Z781" s="3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38"/>
      <c r="BF781" s="2"/>
      <c r="BG781" s="38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U781" s="2"/>
      <c r="BV781" s="2"/>
    </row>
    <row r="782" spans="1:74" ht="15.7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3"/>
      <c r="Z782" s="3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38"/>
      <c r="BF782" s="2"/>
      <c r="BG782" s="38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U782" s="2"/>
      <c r="BV782" s="2"/>
    </row>
    <row r="783" spans="1:74" ht="15.7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3"/>
      <c r="Z783" s="3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38"/>
      <c r="BF783" s="2"/>
      <c r="BG783" s="38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U783" s="2"/>
      <c r="BV783" s="2"/>
    </row>
    <row r="784" spans="1:74" ht="15.7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3"/>
      <c r="Z784" s="3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38"/>
      <c r="BF784" s="2"/>
      <c r="BG784" s="38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U784" s="2"/>
      <c r="BV784" s="2"/>
    </row>
    <row r="785" spans="1:74" ht="15.7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3"/>
      <c r="Z785" s="3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38"/>
      <c r="BF785" s="2"/>
      <c r="BG785" s="38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U785" s="2"/>
      <c r="BV785" s="2"/>
    </row>
    <row r="786" spans="1:74" ht="15.7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3"/>
      <c r="Z786" s="3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38"/>
      <c r="BF786" s="2"/>
      <c r="BG786" s="38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U786" s="2"/>
      <c r="BV786" s="2"/>
    </row>
    <row r="787" spans="1:74" ht="15.7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3"/>
      <c r="Z787" s="3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38"/>
      <c r="BF787" s="2"/>
      <c r="BG787" s="38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U787" s="2"/>
      <c r="BV787" s="2"/>
    </row>
    <row r="788" spans="1:74" ht="15.7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3"/>
      <c r="Z788" s="3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38"/>
      <c r="BF788" s="2"/>
      <c r="BG788" s="38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U788" s="2"/>
      <c r="BV788" s="2"/>
    </row>
    <row r="789" spans="1:74" ht="15.7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3"/>
      <c r="Z789" s="3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38"/>
      <c r="BF789" s="2"/>
      <c r="BG789" s="38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U789" s="2"/>
      <c r="BV789" s="2"/>
    </row>
    <row r="790" spans="1:74" ht="15.7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3"/>
      <c r="Z790" s="3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38"/>
      <c r="BF790" s="2"/>
      <c r="BG790" s="38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U790" s="2"/>
      <c r="BV790" s="2"/>
    </row>
    <row r="791" spans="1:74" ht="15.7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3"/>
      <c r="Z791" s="3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38"/>
      <c r="BF791" s="2"/>
      <c r="BG791" s="38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U791" s="2"/>
      <c r="BV791" s="2"/>
    </row>
    <row r="792" spans="1:74" ht="15.7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3"/>
      <c r="Z792" s="3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38"/>
      <c r="BF792" s="2"/>
      <c r="BG792" s="38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U792" s="2"/>
      <c r="BV792" s="2"/>
    </row>
    <row r="793" spans="1:74" ht="15.7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3"/>
      <c r="Z793" s="3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38"/>
      <c r="BF793" s="2"/>
      <c r="BG793" s="38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U793" s="2"/>
      <c r="BV793" s="2"/>
    </row>
    <row r="794" spans="1:74" ht="15.7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3"/>
      <c r="Z794" s="3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38"/>
      <c r="BF794" s="2"/>
      <c r="BG794" s="38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U794" s="2"/>
      <c r="BV794" s="2"/>
    </row>
    <row r="795" spans="1:74" ht="15.7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3"/>
      <c r="Z795" s="3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38"/>
      <c r="BF795" s="2"/>
      <c r="BG795" s="38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U795" s="2"/>
      <c r="BV795" s="2"/>
    </row>
    <row r="796" spans="1:74" ht="15.7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3"/>
      <c r="Z796" s="3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38"/>
      <c r="BF796" s="2"/>
      <c r="BG796" s="38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U796" s="2"/>
      <c r="BV796" s="2"/>
    </row>
    <row r="797" spans="1:74" ht="15.7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3"/>
      <c r="Z797" s="3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38"/>
      <c r="BF797" s="2"/>
      <c r="BG797" s="38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U797" s="2"/>
      <c r="BV797" s="2"/>
    </row>
    <row r="798" spans="1:74" ht="15.7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3"/>
      <c r="Z798" s="3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38"/>
      <c r="BF798" s="2"/>
      <c r="BG798" s="38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U798" s="2"/>
      <c r="BV798" s="2"/>
    </row>
    <row r="799" spans="1:74" ht="15.7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3"/>
      <c r="Z799" s="3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38"/>
      <c r="BF799" s="2"/>
      <c r="BG799" s="38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U799" s="2"/>
      <c r="BV799" s="2"/>
    </row>
    <row r="800" spans="1:74" ht="15.7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3"/>
      <c r="Z800" s="3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38"/>
      <c r="BF800" s="2"/>
      <c r="BG800" s="38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U800" s="2"/>
      <c r="BV800" s="2"/>
    </row>
    <row r="801" spans="1:74" ht="15.7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3"/>
      <c r="Z801" s="3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38"/>
      <c r="BF801" s="2"/>
      <c r="BG801" s="38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U801" s="2"/>
      <c r="BV801" s="2"/>
    </row>
    <row r="802" spans="1:74" ht="15.7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3"/>
      <c r="Z802" s="3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38"/>
      <c r="BF802" s="2"/>
      <c r="BG802" s="38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U802" s="2"/>
      <c r="BV802" s="2"/>
    </row>
    <row r="803" spans="1:74" ht="15.7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3"/>
      <c r="Z803" s="3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38"/>
      <c r="BF803" s="2"/>
      <c r="BG803" s="38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U803" s="2"/>
      <c r="BV803" s="2"/>
    </row>
    <row r="804" spans="1:74" ht="15.7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3"/>
      <c r="Z804" s="3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38"/>
      <c r="BF804" s="2"/>
      <c r="BG804" s="38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U804" s="2"/>
      <c r="BV804" s="2"/>
    </row>
    <row r="805" spans="1:74" ht="15.7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3"/>
      <c r="Z805" s="3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38"/>
      <c r="BF805" s="2"/>
      <c r="BG805" s="38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U805" s="2"/>
      <c r="BV805" s="2"/>
    </row>
    <row r="806" spans="1:74" ht="15.7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3"/>
      <c r="Z806" s="3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38"/>
      <c r="BF806" s="2"/>
      <c r="BG806" s="38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U806" s="2"/>
      <c r="BV806" s="2"/>
    </row>
    <row r="807" spans="1:74" ht="15.7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3"/>
      <c r="Z807" s="3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38"/>
      <c r="BF807" s="2"/>
      <c r="BG807" s="38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U807" s="2"/>
      <c r="BV807" s="2"/>
    </row>
    <row r="808" spans="1:74" ht="15.7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3"/>
      <c r="Z808" s="3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38"/>
      <c r="BF808" s="2"/>
      <c r="BG808" s="38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U808" s="2"/>
      <c r="BV808" s="2"/>
    </row>
    <row r="809" spans="1:74" ht="15.7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3"/>
      <c r="Z809" s="3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38"/>
      <c r="BF809" s="2"/>
      <c r="BG809" s="38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U809" s="2"/>
      <c r="BV809" s="2"/>
    </row>
    <row r="810" spans="1:74" ht="15.7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3"/>
      <c r="Z810" s="3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38"/>
      <c r="BF810" s="2"/>
      <c r="BG810" s="38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U810" s="2"/>
      <c r="BV810" s="2"/>
    </row>
    <row r="811" spans="1:74" ht="15.7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3"/>
      <c r="Z811" s="3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38"/>
      <c r="BF811" s="2"/>
      <c r="BG811" s="38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U811" s="2"/>
      <c r="BV811" s="2"/>
    </row>
    <row r="812" spans="1:74" ht="15.7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3"/>
      <c r="Z812" s="3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38"/>
      <c r="BF812" s="2"/>
      <c r="BG812" s="38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U812" s="2"/>
      <c r="BV812" s="2"/>
    </row>
    <row r="813" spans="1:74" ht="15.7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3"/>
      <c r="Z813" s="3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38"/>
      <c r="BF813" s="2"/>
      <c r="BG813" s="38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U813" s="2"/>
      <c r="BV813" s="2"/>
    </row>
    <row r="814" spans="1:74" ht="15.7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3"/>
      <c r="Z814" s="3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38"/>
      <c r="BF814" s="2"/>
      <c r="BG814" s="38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U814" s="2"/>
      <c r="BV814" s="2"/>
    </row>
    <row r="815" spans="1:74" ht="15.7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3"/>
      <c r="Z815" s="3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38"/>
      <c r="BF815" s="2"/>
      <c r="BG815" s="38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U815" s="2"/>
      <c r="BV815" s="2"/>
    </row>
    <row r="816" spans="1:74" ht="15.7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3"/>
      <c r="Z816" s="3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38"/>
      <c r="BF816" s="2"/>
      <c r="BG816" s="38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U816" s="2"/>
      <c r="BV816" s="2"/>
    </row>
    <row r="817" spans="1:74" ht="15.7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3"/>
      <c r="Z817" s="3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38"/>
      <c r="BF817" s="2"/>
      <c r="BG817" s="38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U817" s="2"/>
      <c r="BV817" s="2"/>
    </row>
    <row r="818" spans="1:74" ht="15.7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3"/>
      <c r="Z818" s="3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38"/>
      <c r="BF818" s="2"/>
      <c r="BG818" s="38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U818" s="2"/>
      <c r="BV818" s="2"/>
    </row>
    <row r="819" spans="1:74" ht="15.7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3"/>
      <c r="Z819" s="3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38"/>
      <c r="BF819" s="2"/>
      <c r="BG819" s="38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U819" s="2"/>
      <c r="BV819" s="2"/>
    </row>
    <row r="820" spans="1:74" ht="15.7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3"/>
      <c r="Z820" s="3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38"/>
      <c r="BF820" s="2"/>
      <c r="BG820" s="38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U820" s="2"/>
      <c r="BV820" s="2"/>
    </row>
    <row r="821" spans="1:74" ht="15.7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3"/>
      <c r="Z821" s="3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38"/>
      <c r="BF821" s="2"/>
      <c r="BG821" s="38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U821" s="2"/>
      <c r="BV821" s="2"/>
    </row>
    <row r="822" spans="1:74" ht="15.7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3"/>
      <c r="Z822" s="3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38"/>
      <c r="BF822" s="2"/>
      <c r="BG822" s="38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U822" s="2"/>
      <c r="BV822" s="2"/>
    </row>
    <row r="823" spans="1:74" ht="15.7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3"/>
      <c r="Z823" s="3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38"/>
      <c r="BF823" s="2"/>
      <c r="BG823" s="38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U823" s="2"/>
      <c r="BV823" s="2"/>
    </row>
    <row r="824" spans="1:74" ht="15.7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3"/>
      <c r="Z824" s="3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38"/>
      <c r="BF824" s="2"/>
      <c r="BG824" s="38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U824" s="2"/>
      <c r="BV824" s="2"/>
    </row>
    <row r="825" spans="1:74" ht="15.7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3"/>
      <c r="Z825" s="3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38"/>
      <c r="BF825" s="2"/>
      <c r="BG825" s="38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U825" s="2"/>
      <c r="BV825" s="2"/>
    </row>
    <row r="826" spans="1:74" ht="15.7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3"/>
      <c r="Z826" s="3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38"/>
      <c r="BF826" s="2"/>
      <c r="BG826" s="38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U826" s="2"/>
      <c r="BV826" s="2"/>
    </row>
    <row r="827" spans="1:74" ht="15.7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3"/>
      <c r="Z827" s="3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38"/>
      <c r="BF827" s="2"/>
      <c r="BG827" s="38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U827" s="2"/>
      <c r="BV827" s="2"/>
    </row>
    <row r="828" spans="1:74" ht="15.7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3"/>
      <c r="Z828" s="3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38"/>
      <c r="BF828" s="2"/>
      <c r="BG828" s="38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U828" s="2"/>
      <c r="BV828" s="2"/>
    </row>
    <row r="829" spans="1:74" ht="15.7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3"/>
      <c r="Z829" s="3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38"/>
      <c r="BF829" s="2"/>
      <c r="BG829" s="38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U829" s="2"/>
      <c r="BV829" s="2"/>
    </row>
    <row r="830" spans="1:74" ht="15.7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3"/>
      <c r="Z830" s="3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38"/>
      <c r="BF830" s="2"/>
      <c r="BG830" s="38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U830" s="2"/>
      <c r="BV830" s="2"/>
    </row>
    <row r="831" spans="1:74" ht="15.7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3"/>
      <c r="Z831" s="3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38"/>
      <c r="BF831" s="2"/>
      <c r="BG831" s="38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U831" s="2"/>
      <c r="BV831" s="2"/>
    </row>
    <row r="832" spans="1:74" ht="15.7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3"/>
      <c r="Z832" s="3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38"/>
      <c r="BF832" s="2"/>
      <c r="BG832" s="38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U832" s="2"/>
      <c r="BV832" s="2"/>
    </row>
    <row r="833" spans="1:74" ht="15.7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3"/>
      <c r="Z833" s="3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38"/>
      <c r="BF833" s="2"/>
      <c r="BG833" s="38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U833" s="2"/>
      <c r="BV833" s="2"/>
    </row>
    <row r="834" spans="1:74" ht="15.7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3"/>
      <c r="Z834" s="3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38"/>
      <c r="BF834" s="2"/>
      <c r="BG834" s="38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U834" s="2"/>
      <c r="BV834" s="2"/>
    </row>
    <row r="835" spans="1:74" ht="15.7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3"/>
      <c r="Z835" s="3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38"/>
      <c r="BF835" s="2"/>
      <c r="BG835" s="38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U835" s="2"/>
      <c r="BV835" s="2"/>
    </row>
    <row r="836" spans="1:74" ht="15.7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3"/>
      <c r="Z836" s="3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38"/>
      <c r="BF836" s="2"/>
      <c r="BG836" s="38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U836" s="2"/>
      <c r="BV836" s="2"/>
    </row>
    <row r="837" spans="1:74" ht="15.7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3"/>
      <c r="Z837" s="3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38"/>
      <c r="BF837" s="2"/>
      <c r="BG837" s="38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U837" s="2"/>
      <c r="BV837" s="2"/>
    </row>
    <row r="838" spans="1:74" ht="15.7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3"/>
      <c r="Z838" s="3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38"/>
      <c r="BF838" s="2"/>
      <c r="BG838" s="38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U838" s="2"/>
      <c r="BV838" s="2"/>
    </row>
    <row r="839" spans="1:74" ht="15.7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3"/>
      <c r="Z839" s="3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38"/>
      <c r="BF839" s="2"/>
      <c r="BG839" s="38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U839" s="2"/>
      <c r="BV839" s="2"/>
    </row>
    <row r="840" spans="1:74" ht="15.7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3"/>
      <c r="Z840" s="3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38"/>
      <c r="BF840" s="2"/>
      <c r="BG840" s="38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U840" s="2"/>
      <c r="BV840" s="2"/>
    </row>
    <row r="841" spans="1:74" ht="15.7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3"/>
      <c r="Z841" s="3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38"/>
      <c r="BF841" s="2"/>
      <c r="BG841" s="38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U841" s="2"/>
      <c r="BV841" s="2"/>
    </row>
    <row r="842" spans="1:74" ht="15.7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3"/>
      <c r="Z842" s="3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38"/>
      <c r="BF842" s="2"/>
      <c r="BG842" s="38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U842" s="2"/>
      <c r="BV842" s="2"/>
    </row>
    <row r="843" spans="1:74" ht="15.7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3"/>
      <c r="Z843" s="3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38"/>
      <c r="BF843" s="2"/>
      <c r="BG843" s="38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U843" s="2"/>
      <c r="BV843" s="2"/>
    </row>
    <row r="844" spans="1:74" ht="15.7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3"/>
      <c r="Z844" s="3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38"/>
      <c r="BF844" s="2"/>
      <c r="BG844" s="38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U844" s="2"/>
      <c r="BV844" s="2"/>
    </row>
    <row r="845" spans="1:74" ht="15.7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3"/>
      <c r="Z845" s="3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38"/>
      <c r="BF845" s="2"/>
      <c r="BG845" s="38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U845" s="2"/>
      <c r="BV845" s="2"/>
    </row>
    <row r="846" spans="1:74" ht="15.7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3"/>
      <c r="Z846" s="3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38"/>
      <c r="BF846" s="2"/>
      <c r="BG846" s="38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U846" s="2"/>
      <c r="BV846" s="2"/>
    </row>
    <row r="847" spans="1:74" ht="15.7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3"/>
      <c r="Z847" s="3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38"/>
      <c r="BF847" s="2"/>
      <c r="BG847" s="38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U847" s="2"/>
      <c r="BV847" s="2"/>
    </row>
    <row r="848" spans="1:74" ht="15.7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3"/>
      <c r="Z848" s="3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38"/>
      <c r="BF848" s="2"/>
      <c r="BG848" s="38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U848" s="2"/>
      <c r="BV848" s="2"/>
    </row>
    <row r="849" spans="1:74" ht="15.7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3"/>
      <c r="Z849" s="3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38"/>
      <c r="BF849" s="2"/>
      <c r="BG849" s="38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U849" s="2"/>
      <c r="BV849" s="2"/>
    </row>
    <row r="850" spans="1:74" ht="15.7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3"/>
      <c r="Z850" s="3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38"/>
      <c r="BF850" s="2"/>
      <c r="BG850" s="38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U850" s="2"/>
      <c r="BV850" s="2"/>
    </row>
    <row r="851" spans="1:74" ht="15.7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3"/>
      <c r="Z851" s="3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38"/>
      <c r="BF851" s="2"/>
      <c r="BG851" s="38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U851" s="2"/>
      <c r="BV851" s="2"/>
    </row>
    <row r="852" spans="1:74" ht="15.7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3"/>
      <c r="Z852" s="3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38"/>
      <c r="BF852" s="2"/>
      <c r="BG852" s="38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U852" s="2"/>
      <c r="BV852" s="2"/>
    </row>
    <row r="853" spans="1:74" ht="15.7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3"/>
      <c r="Z853" s="3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38"/>
      <c r="BF853" s="2"/>
      <c r="BG853" s="38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U853" s="2"/>
      <c r="BV853" s="2"/>
    </row>
    <row r="854" spans="1:74" ht="15.7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3"/>
      <c r="Z854" s="3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38"/>
      <c r="BF854" s="2"/>
      <c r="BG854" s="38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U854" s="2"/>
      <c r="BV854" s="2"/>
    </row>
    <row r="855" spans="1:74" ht="15.7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3"/>
      <c r="Z855" s="3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38"/>
      <c r="BF855" s="2"/>
      <c r="BG855" s="38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U855" s="2"/>
      <c r="BV855" s="2"/>
    </row>
    <row r="856" spans="1:74" ht="15.7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3"/>
      <c r="Z856" s="3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38"/>
      <c r="BF856" s="2"/>
      <c r="BG856" s="38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U856" s="2"/>
      <c r="BV856" s="2"/>
    </row>
    <row r="857" spans="1:74" ht="15.7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3"/>
      <c r="Z857" s="3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38"/>
      <c r="BF857" s="2"/>
      <c r="BG857" s="38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U857" s="2"/>
      <c r="BV857" s="2"/>
    </row>
    <row r="858" spans="1:74" ht="15.7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3"/>
      <c r="Z858" s="3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38"/>
      <c r="BF858" s="2"/>
      <c r="BG858" s="38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U858" s="2"/>
      <c r="BV858" s="2"/>
    </row>
    <row r="859" spans="1:74" ht="15.7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3"/>
      <c r="Z859" s="3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38"/>
      <c r="BF859" s="2"/>
      <c r="BG859" s="38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U859" s="2"/>
      <c r="BV859" s="2"/>
    </row>
    <row r="860" spans="1:74" ht="15.7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3"/>
      <c r="Z860" s="3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38"/>
      <c r="BF860" s="2"/>
      <c r="BG860" s="38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U860" s="2"/>
      <c r="BV860" s="2"/>
    </row>
    <row r="861" spans="1:74" ht="15.7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3"/>
      <c r="Z861" s="3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38"/>
      <c r="BF861" s="2"/>
      <c r="BG861" s="38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U861" s="2"/>
      <c r="BV861" s="2"/>
    </row>
    <row r="862" spans="1:74" ht="15.7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3"/>
      <c r="Z862" s="3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38"/>
      <c r="BF862" s="2"/>
      <c r="BG862" s="38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U862" s="2"/>
      <c r="BV862" s="2"/>
    </row>
    <row r="863" spans="1:74" ht="15.7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3"/>
      <c r="Z863" s="3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38"/>
      <c r="BF863" s="2"/>
      <c r="BG863" s="38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U863" s="2"/>
      <c r="BV863" s="2"/>
    </row>
    <row r="864" spans="1:74" ht="15.7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3"/>
      <c r="Z864" s="3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38"/>
      <c r="BF864" s="2"/>
      <c r="BG864" s="38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U864" s="2"/>
      <c r="BV864" s="2"/>
    </row>
    <row r="865" spans="1:74" ht="15.7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3"/>
      <c r="Z865" s="3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38"/>
      <c r="BF865" s="2"/>
      <c r="BG865" s="38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U865" s="2"/>
      <c r="BV865" s="2"/>
    </row>
    <row r="866" spans="1:74" ht="15.7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3"/>
      <c r="Z866" s="3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38"/>
      <c r="BF866" s="2"/>
      <c r="BG866" s="38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U866" s="2"/>
      <c r="BV866" s="2"/>
    </row>
    <row r="867" spans="1:74" ht="15.7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3"/>
      <c r="Z867" s="3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38"/>
      <c r="BF867" s="2"/>
      <c r="BG867" s="38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U867" s="2"/>
      <c r="BV867" s="2"/>
    </row>
    <row r="868" spans="1:74" ht="15.7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3"/>
      <c r="Z868" s="3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38"/>
      <c r="BF868" s="2"/>
      <c r="BG868" s="38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U868" s="2"/>
      <c r="BV868" s="2"/>
    </row>
    <row r="869" spans="1:74" ht="15.7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3"/>
      <c r="Z869" s="3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38"/>
      <c r="BF869" s="2"/>
      <c r="BG869" s="38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U869" s="2"/>
      <c r="BV869" s="2"/>
    </row>
    <row r="870" spans="1:74" ht="15.7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3"/>
      <c r="Z870" s="3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38"/>
      <c r="BF870" s="2"/>
      <c r="BG870" s="38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U870" s="2"/>
      <c r="BV870" s="2"/>
    </row>
    <row r="871" spans="1:74" ht="15.7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3"/>
      <c r="Z871" s="3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38"/>
      <c r="BF871" s="2"/>
      <c r="BG871" s="38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U871" s="2"/>
      <c r="BV871" s="2"/>
    </row>
    <row r="872" spans="1:74" ht="15.7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3"/>
      <c r="Z872" s="3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38"/>
      <c r="BF872" s="2"/>
      <c r="BG872" s="38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U872" s="2"/>
      <c r="BV872" s="2"/>
    </row>
    <row r="873" spans="1:74" ht="15.7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3"/>
      <c r="Z873" s="3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38"/>
      <c r="BF873" s="2"/>
      <c r="BG873" s="38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U873" s="2"/>
      <c r="BV873" s="2"/>
    </row>
    <row r="874" spans="1:74" ht="15.7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3"/>
      <c r="Z874" s="3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38"/>
      <c r="BF874" s="2"/>
      <c r="BG874" s="38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U874" s="2"/>
      <c r="BV874" s="2"/>
    </row>
    <row r="875" spans="1:74" ht="15.7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3"/>
      <c r="Z875" s="3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38"/>
      <c r="BF875" s="2"/>
      <c r="BG875" s="38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U875" s="2"/>
      <c r="BV875" s="2"/>
    </row>
    <row r="876" spans="1:74" ht="15.7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3"/>
      <c r="Z876" s="3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38"/>
      <c r="BF876" s="2"/>
      <c r="BG876" s="38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U876" s="2"/>
      <c r="BV876" s="2"/>
    </row>
    <row r="877" spans="1:74" ht="15.7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3"/>
      <c r="Z877" s="3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38"/>
      <c r="BF877" s="2"/>
      <c r="BG877" s="38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U877" s="2"/>
      <c r="BV877" s="2"/>
    </row>
    <row r="878" spans="1:74" ht="15.7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3"/>
      <c r="Z878" s="3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38"/>
      <c r="BF878" s="2"/>
      <c r="BG878" s="38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U878" s="2"/>
      <c r="BV878" s="2"/>
    </row>
    <row r="879" spans="1:74" ht="15.7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3"/>
      <c r="Z879" s="3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38"/>
      <c r="BF879" s="2"/>
      <c r="BG879" s="38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U879" s="2"/>
      <c r="BV879" s="2"/>
    </row>
    <row r="880" spans="1:74" ht="15.7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3"/>
      <c r="Z880" s="3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38"/>
      <c r="BF880" s="2"/>
      <c r="BG880" s="38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U880" s="2"/>
      <c r="BV880" s="2"/>
    </row>
    <row r="881" spans="1:74" ht="15.7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3"/>
      <c r="Z881" s="3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38"/>
      <c r="BF881" s="2"/>
      <c r="BG881" s="38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U881" s="2"/>
      <c r="BV881" s="2"/>
    </row>
    <row r="882" spans="1:74" ht="15.7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3"/>
      <c r="Z882" s="3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38"/>
      <c r="BF882" s="2"/>
      <c r="BG882" s="38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U882" s="2"/>
      <c r="BV882" s="2"/>
    </row>
    <row r="883" spans="1:74" ht="15.7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3"/>
      <c r="Z883" s="3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38"/>
      <c r="BF883" s="2"/>
      <c r="BG883" s="38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U883" s="2"/>
      <c r="BV883" s="2"/>
    </row>
    <row r="884" spans="1:74" ht="15.7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3"/>
      <c r="Z884" s="3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38"/>
      <c r="BF884" s="2"/>
      <c r="BG884" s="38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U884" s="2"/>
      <c r="BV884" s="2"/>
    </row>
    <row r="885" spans="1:74" ht="15.7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3"/>
      <c r="Z885" s="3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38"/>
      <c r="BF885" s="2"/>
      <c r="BG885" s="38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U885" s="2"/>
      <c r="BV885" s="2"/>
    </row>
    <row r="886" spans="1:74" ht="15.7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3"/>
      <c r="Z886" s="3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38"/>
      <c r="BF886" s="2"/>
      <c r="BG886" s="38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U886" s="2"/>
      <c r="BV886" s="2"/>
    </row>
    <row r="887" spans="1:74" ht="15.7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3"/>
      <c r="Z887" s="3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38"/>
      <c r="BF887" s="2"/>
      <c r="BG887" s="38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U887" s="2"/>
      <c r="BV887" s="2"/>
    </row>
    <row r="888" spans="1:74" ht="15.7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3"/>
      <c r="Z888" s="3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38"/>
      <c r="BF888" s="2"/>
      <c r="BG888" s="38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U888" s="2"/>
      <c r="BV888" s="2"/>
    </row>
    <row r="889" spans="1:74" ht="15.7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3"/>
      <c r="Z889" s="3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38"/>
      <c r="BF889" s="2"/>
      <c r="BG889" s="38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U889" s="2"/>
      <c r="BV889" s="2"/>
    </row>
    <row r="890" spans="1:74" ht="15.7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3"/>
      <c r="Z890" s="3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38"/>
      <c r="BF890" s="2"/>
      <c r="BG890" s="38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U890" s="2"/>
      <c r="BV890" s="2"/>
    </row>
    <row r="891" spans="1:74" ht="15.7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3"/>
      <c r="Z891" s="3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38"/>
      <c r="BF891" s="2"/>
      <c r="BG891" s="38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U891" s="2"/>
      <c r="BV891" s="2"/>
    </row>
    <row r="892" spans="1:74" ht="15.7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3"/>
      <c r="Z892" s="3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38"/>
      <c r="BF892" s="2"/>
      <c r="BG892" s="38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U892" s="2"/>
      <c r="BV892" s="2"/>
    </row>
    <row r="893" spans="1:74" ht="15.7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3"/>
      <c r="Z893" s="3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38"/>
      <c r="BF893" s="2"/>
      <c r="BG893" s="38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U893" s="2"/>
      <c r="BV893" s="2"/>
    </row>
    <row r="894" spans="1:74" ht="15.7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3"/>
      <c r="Z894" s="3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38"/>
      <c r="BF894" s="2"/>
      <c r="BG894" s="38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U894" s="2"/>
      <c r="BV894" s="2"/>
    </row>
    <row r="895" spans="1:74" ht="15.7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3"/>
      <c r="Z895" s="3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38"/>
      <c r="BF895" s="2"/>
      <c r="BG895" s="38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U895" s="2"/>
      <c r="BV895" s="2"/>
    </row>
    <row r="896" spans="1:74" ht="15.7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3"/>
      <c r="Z896" s="3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38"/>
      <c r="BF896" s="2"/>
      <c r="BG896" s="38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U896" s="2"/>
      <c r="BV896" s="2"/>
    </row>
    <row r="897" spans="1:74" ht="15.7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3"/>
      <c r="Z897" s="3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38"/>
      <c r="BF897" s="2"/>
      <c r="BG897" s="38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U897" s="2"/>
      <c r="BV897" s="2"/>
    </row>
    <row r="898" spans="1:74" ht="15.7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3"/>
      <c r="Z898" s="3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38"/>
      <c r="BF898" s="2"/>
      <c r="BG898" s="38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U898" s="2"/>
      <c r="BV898" s="2"/>
    </row>
    <row r="899" spans="1:74" ht="15.7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3"/>
      <c r="Z899" s="3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38"/>
      <c r="BF899" s="2"/>
      <c r="BG899" s="38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U899" s="2"/>
      <c r="BV899" s="2"/>
    </row>
    <row r="900" spans="1:74" ht="15.7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3"/>
      <c r="Z900" s="3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38"/>
      <c r="BF900" s="2"/>
      <c r="BG900" s="38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U900" s="2"/>
      <c r="BV900" s="2"/>
    </row>
    <row r="901" spans="1:74" ht="15.7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3"/>
      <c r="Z901" s="3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38"/>
      <c r="BF901" s="2"/>
      <c r="BG901" s="38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U901" s="2"/>
      <c r="BV901" s="2"/>
    </row>
    <row r="902" spans="1:74" ht="15.7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3"/>
      <c r="Z902" s="3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38"/>
      <c r="BF902" s="2"/>
      <c r="BG902" s="38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U902" s="2"/>
      <c r="BV902" s="2"/>
    </row>
    <row r="903" spans="1:74" ht="15.7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3"/>
      <c r="Z903" s="3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38"/>
      <c r="BF903" s="2"/>
      <c r="BG903" s="38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U903" s="2"/>
      <c r="BV903" s="2"/>
    </row>
    <row r="904" spans="1:74" ht="15.7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3"/>
      <c r="Z904" s="3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38"/>
      <c r="BF904" s="2"/>
      <c r="BG904" s="38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U904" s="2"/>
      <c r="BV904" s="2"/>
    </row>
    <row r="905" spans="1:74" ht="15.7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3"/>
      <c r="Z905" s="3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38"/>
      <c r="BF905" s="2"/>
      <c r="BG905" s="38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U905" s="2"/>
      <c r="BV905" s="2"/>
    </row>
    <row r="906" spans="1:74" ht="15.7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3"/>
      <c r="Z906" s="3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38"/>
      <c r="BF906" s="2"/>
      <c r="BG906" s="38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U906" s="2"/>
      <c r="BV906" s="2"/>
    </row>
    <row r="907" spans="1:74" ht="15.7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3"/>
      <c r="Z907" s="3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38"/>
      <c r="BF907" s="2"/>
      <c r="BG907" s="38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U907" s="2"/>
      <c r="BV907" s="2"/>
    </row>
    <row r="908" spans="1:74" ht="15.7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3"/>
      <c r="Z908" s="3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38"/>
      <c r="BF908" s="2"/>
      <c r="BG908" s="38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U908" s="2"/>
      <c r="BV908" s="2"/>
    </row>
    <row r="909" spans="1:74" ht="15.7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3"/>
      <c r="Z909" s="3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38"/>
      <c r="BF909" s="2"/>
      <c r="BG909" s="38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U909" s="2"/>
      <c r="BV909" s="2"/>
    </row>
    <row r="910" spans="1:74" ht="15.7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3"/>
      <c r="Z910" s="3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38"/>
      <c r="BF910" s="2"/>
      <c r="BG910" s="38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U910" s="2"/>
      <c r="BV910" s="2"/>
    </row>
    <row r="911" spans="1:74" ht="15.7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3"/>
      <c r="Z911" s="3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38"/>
      <c r="BF911" s="2"/>
      <c r="BG911" s="38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U911" s="2"/>
      <c r="BV911" s="2"/>
    </row>
    <row r="912" spans="1:74" ht="15.7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3"/>
      <c r="Z912" s="3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38"/>
      <c r="BF912" s="2"/>
      <c r="BG912" s="38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U912" s="2"/>
      <c r="BV912" s="2"/>
    </row>
    <row r="913" spans="1:74" ht="15.7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3"/>
      <c r="Z913" s="3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38"/>
      <c r="BF913" s="2"/>
      <c r="BG913" s="38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U913" s="2"/>
      <c r="BV913" s="2"/>
    </row>
    <row r="914" spans="1:74" ht="15.7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3"/>
      <c r="Z914" s="3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38"/>
      <c r="BF914" s="2"/>
      <c r="BG914" s="38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U914" s="2"/>
      <c r="BV914" s="2"/>
    </row>
    <row r="915" spans="1:74" ht="15.7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3"/>
      <c r="Z915" s="3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38"/>
      <c r="BF915" s="2"/>
      <c r="BG915" s="38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U915" s="2"/>
      <c r="BV915" s="2"/>
    </row>
    <row r="916" spans="1:74" ht="15.7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3"/>
      <c r="Z916" s="3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38"/>
      <c r="BF916" s="2"/>
      <c r="BG916" s="38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U916" s="2"/>
      <c r="BV916" s="2"/>
    </row>
    <row r="917" spans="1:74" ht="15.7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3"/>
      <c r="Z917" s="3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38"/>
      <c r="BF917" s="2"/>
      <c r="BG917" s="38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U917" s="2"/>
      <c r="BV917" s="2"/>
    </row>
    <row r="918" spans="1:74" ht="15.7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3"/>
      <c r="Z918" s="3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38"/>
      <c r="BF918" s="2"/>
      <c r="BG918" s="38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U918" s="2"/>
      <c r="BV918" s="2"/>
    </row>
    <row r="919" spans="1:74" ht="15.7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3"/>
      <c r="Z919" s="3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38"/>
      <c r="BF919" s="2"/>
      <c r="BG919" s="38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U919" s="2"/>
      <c r="BV919" s="2"/>
    </row>
    <row r="920" spans="1:74" ht="15.7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3"/>
      <c r="Z920" s="3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38"/>
      <c r="BF920" s="2"/>
      <c r="BG920" s="38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U920" s="2"/>
      <c r="BV920" s="2"/>
    </row>
    <row r="921" spans="1:74" ht="15.7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3"/>
      <c r="Z921" s="3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38"/>
      <c r="BF921" s="2"/>
      <c r="BG921" s="38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U921" s="2"/>
      <c r="BV921" s="2"/>
    </row>
    <row r="922" spans="1:74" ht="15.7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3"/>
      <c r="Z922" s="3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38"/>
      <c r="BF922" s="2"/>
      <c r="BG922" s="38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U922" s="2"/>
      <c r="BV922" s="2"/>
    </row>
    <row r="923" spans="1:74" ht="15.7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3"/>
      <c r="Z923" s="3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38"/>
      <c r="BF923" s="2"/>
      <c r="BG923" s="38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U923" s="2"/>
      <c r="BV923" s="2"/>
    </row>
    <row r="924" spans="1:74" ht="15.7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3"/>
      <c r="Z924" s="3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38"/>
      <c r="BF924" s="2"/>
      <c r="BG924" s="38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</row>
    <row r="925" spans="1:74" ht="15.7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3"/>
      <c r="Z925" s="3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38"/>
      <c r="BF925" s="2"/>
      <c r="BG925" s="38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</row>
    <row r="926" spans="1:74" ht="15.7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3"/>
      <c r="Z926" s="3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38"/>
      <c r="BF926" s="2"/>
      <c r="BG926" s="38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</row>
    <row r="927" spans="1:74" ht="15.7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3"/>
      <c r="Z927" s="3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38"/>
      <c r="BF927" s="2"/>
      <c r="BG927" s="38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</row>
    <row r="928" spans="1:74" ht="15.7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3"/>
      <c r="Z928" s="3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38"/>
      <c r="BF928" s="2"/>
      <c r="BG928" s="38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</row>
    <row r="929" spans="1:74" ht="15.7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3"/>
      <c r="Z929" s="3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38"/>
      <c r="BF929" s="2"/>
      <c r="BG929" s="38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</row>
    <row r="930" spans="1:74" ht="15.7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3"/>
      <c r="Z930" s="3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38"/>
      <c r="BF930" s="2"/>
      <c r="BG930" s="38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</row>
    <row r="931" spans="1:74" ht="15.7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3"/>
      <c r="Z931" s="3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38"/>
      <c r="BF931" s="2"/>
      <c r="BG931" s="38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</row>
    <row r="932" spans="1:74" ht="15.7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3"/>
      <c r="Z932" s="3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38"/>
      <c r="BF932" s="2"/>
      <c r="BG932" s="38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</row>
    <row r="933" spans="1:74" ht="15.7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3"/>
      <c r="Z933" s="3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38"/>
      <c r="BF933" s="2"/>
      <c r="BG933" s="38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</row>
    <row r="934" spans="1:74" ht="15.7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3"/>
      <c r="Z934" s="3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38"/>
      <c r="BF934" s="2"/>
      <c r="BG934" s="38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</row>
    <row r="935" spans="1:74" ht="15.7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3"/>
      <c r="Z935" s="3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38"/>
      <c r="BF935" s="2"/>
      <c r="BG935" s="38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</row>
    <row r="936" spans="1:74" ht="15.7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3"/>
      <c r="Z936" s="3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38"/>
      <c r="BF936" s="2"/>
      <c r="BG936" s="38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</row>
    <row r="937" spans="1:74" ht="15.75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3"/>
      <c r="Z937" s="3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38"/>
      <c r="BF937" s="2"/>
      <c r="BG937" s="38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</row>
    <row r="938" spans="1:74" ht="15.75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3"/>
      <c r="Z938" s="3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38"/>
      <c r="BF938" s="2"/>
      <c r="BG938" s="38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</row>
    <row r="939" spans="1:74" ht="15.75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3"/>
      <c r="Z939" s="3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38"/>
      <c r="BF939" s="2"/>
      <c r="BG939" s="38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</row>
    <row r="940" spans="1:74" ht="15.75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3"/>
      <c r="Z940" s="3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38"/>
      <c r="BF940" s="2"/>
      <c r="BG940" s="38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</row>
    <row r="941" spans="1:74" ht="15.75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3"/>
      <c r="Z941" s="3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38"/>
      <c r="BF941" s="2"/>
      <c r="BG941" s="38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</row>
    <row r="942" spans="1:74" ht="15.75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3"/>
      <c r="Z942" s="3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38"/>
      <c r="BF942" s="2"/>
      <c r="BG942" s="38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</row>
    <row r="943" spans="1:74" ht="15.75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3"/>
      <c r="Z943" s="3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38"/>
      <c r="BF943" s="2"/>
      <c r="BG943" s="38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</row>
    <row r="944" spans="1:74" ht="15.75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3"/>
      <c r="Z944" s="3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38"/>
      <c r="BF944" s="2"/>
      <c r="BG944" s="38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</row>
    <row r="945" spans="1:74" ht="15.75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3"/>
      <c r="Z945" s="3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38"/>
      <c r="BF945" s="2"/>
      <c r="BG945" s="38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</row>
    <row r="946" spans="1:74" ht="15.75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3"/>
      <c r="Z946" s="3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38"/>
      <c r="BF946" s="2"/>
      <c r="BG946" s="38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</row>
    <row r="947" spans="1:74" ht="15.75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3"/>
      <c r="Z947" s="3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38"/>
      <c r="BF947" s="2"/>
      <c r="BG947" s="38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</row>
    <row r="948" spans="1:74" ht="15.75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3"/>
      <c r="Z948" s="3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38"/>
      <c r="BF948" s="2"/>
      <c r="BG948" s="38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</row>
    <row r="949" spans="1:74" ht="15.75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3"/>
      <c r="Z949" s="3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38"/>
      <c r="BF949" s="2"/>
      <c r="BG949" s="38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</row>
    <row r="950" spans="1:74" ht="15.75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3"/>
      <c r="Z950" s="3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38"/>
      <c r="BF950" s="2"/>
      <c r="BG950" s="38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</row>
    <row r="951" spans="1:74" ht="15.75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3"/>
      <c r="Z951" s="3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38"/>
      <c r="BF951" s="2"/>
      <c r="BG951" s="38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</row>
    <row r="952" spans="1:74" ht="15.75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3"/>
      <c r="Z952" s="3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38"/>
      <c r="BF952" s="2"/>
      <c r="BG952" s="38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</row>
    <row r="953" spans="1:74" ht="15.75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3"/>
      <c r="Z953" s="3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38"/>
      <c r="BF953" s="2"/>
      <c r="BG953" s="38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</row>
    <row r="954" spans="1:74" ht="15.75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3"/>
      <c r="Z954" s="3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38"/>
      <c r="BF954" s="2"/>
      <c r="BG954" s="38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</row>
    <row r="955" spans="1:74" ht="15.75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3"/>
      <c r="Z955" s="3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38"/>
      <c r="BF955" s="2"/>
      <c r="BG955" s="38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</row>
    <row r="956" spans="1:74" ht="15.75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3"/>
      <c r="Z956" s="3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38"/>
      <c r="BF956" s="2"/>
      <c r="BG956" s="38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</row>
    <row r="957" spans="1:74" ht="15.75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3"/>
      <c r="Z957" s="3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38"/>
      <c r="BF957" s="2"/>
      <c r="BG957" s="38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</row>
    <row r="958" spans="1:74" ht="15.75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3"/>
      <c r="Z958" s="3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38"/>
      <c r="BF958" s="2"/>
      <c r="BG958" s="38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</row>
    <row r="959" spans="1:74" ht="15.75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3"/>
      <c r="Z959" s="3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38"/>
      <c r="BF959" s="2"/>
      <c r="BG959" s="38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</row>
    <row r="960" spans="1:74" ht="15.75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3"/>
      <c r="Z960" s="3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38"/>
      <c r="BF960" s="2"/>
      <c r="BG960" s="38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</row>
    <row r="961" spans="1:74" ht="15.75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3"/>
      <c r="Z961" s="3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38"/>
      <c r="BF961" s="2"/>
      <c r="BG961" s="38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</row>
    <row r="962" spans="1:74" ht="15.75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3"/>
      <c r="Z962" s="3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38"/>
      <c r="BF962" s="2"/>
      <c r="BG962" s="38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</row>
    <row r="963" spans="1:74" ht="15.75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3"/>
      <c r="Z963" s="3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38"/>
      <c r="BF963" s="2"/>
      <c r="BG963" s="38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</row>
    <row r="964" spans="1:74" ht="15.75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3"/>
      <c r="Z964" s="3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38"/>
      <c r="BF964" s="2"/>
      <c r="BG964" s="38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</row>
    <row r="965" spans="1:74" ht="15.75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3"/>
      <c r="Z965" s="3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38"/>
      <c r="BF965" s="2"/>
      <c r="BG965" s="38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</row>
    <row r="966" spans="1:74" ht="15.75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3"/>
      <c r="Z966" s="3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38"/>
      <c r="BF966" s="2"/>
      <c r="BG966" s="38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</row>
    <row r="967" spans="1:74" ht="15.75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3"/>
      <c r="Z967" s="3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38"/>
      <c r="BF967" s="2"/>
      <c r="BG967" s="38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</row>
    <row r="968" spans="1:74" ht="15.75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3"/>
      <c r="Z968" s="3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38"/>
      <c r="BF968" s="2"/>
      <c r="BG968" s="38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</row>
    <row r="969" spans="1:74" ht="15.75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3"/>
      <c r="Z969" s="3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38"/>
      <c r="BF969" s="2"/>
      <c r="BG969" s="38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</row>
    <row r="970" spans="1:74" ht="15.75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3"/>
      <c r="Z970" s="3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38"/>
      <c r="BF970" s="2"/>
      <c r="BG970" s="38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</row>
  </sheetData>
  <autoFilter ref="A12:BV12"/>
  <mergeCells count="37">
    <mergeCell ref="AJ9:BT9"/>
    <mergeCell ref="AJ10:AO10"/>
    <mergeCell ref="AL11:AL12"/>
    <mergeCell ref="AM11:AM12"/>
    <mergeCell ref="AN11:AN12"/>
    <mergeCell ref="AO11:AO12"/>
    <mergeCell ref="A11:F11"/>
    <mergeCell ref="N11:P11"/>
    <mergeCell ref="Q11:R11"/>
    <mergeCell ref="AA10:AC10"/>
    <mergeCell ref="BI11:BK11"/>
    <mergeCell ref="BO11:BQ11"/>
    <mergeCell ref="BO10:BT10"/>
    <mergeCell ref="BB11:BB12"/>
    <mergeCell ref="BC11:BC12"/>
    <mergeCell ref="BH11:BH12"/>
    <mergeCell ref="AP10:BG10"/>
    <mergeCell ref="BD11:BD12"/>
    <mergeCell ref="BE11:BE12"/>
    <mergeCell ref="BF11:BF12"/>
    <mergeCell ref="BG11:BG12"/>
    <mergeCell ref="G11:M11"/>
    <mergeCell ref="BL11:BN11"/>
    <mergeCell ref="BH10:BN10"/>
    <mergeCell ref="BR11:BT11"/>
    <mergeCell ref="S11:T11"/>
    <mergeCell ref="U11:W11"/>
    <mergeCell ref="X11:Z11"/>
    <mergeCell ref="AA11:AC11"/>
    <mergeCell ref="AD11:AF11"/>
    <mergeCell ref="AG11:AI11"/>
    <mergeCell ref="AP11:AR11"/>
    <mergeCell ref="AS11:AU11"/>
    <mergeCell ref="AV11:AX11"/>
    <mergeCell ref="AJ11:AJ12"/>
    <mergeCell ref="AK11:AK12"/>
    <mergeCell ref="AY11:BA11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Irma Cantu Peña</dc:creator>
  <cp:lastModifiedBy>Irma Cantu Peña</cp:lastModifiedBy>
  <dcterms:created xsi:type="dcterms:W3CDTF">2021-03-25T19:17:09Z</dcterms:created>
  <dcterms:modified xsi:type="dcterms:W3CDTF">2024-06-10T20:47:49Z</dcterms:modified>
</cp:coreProperties>
</file>